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5f701599e42df42/Desktop/"/>
    </mc:Choice>
  </mc:AlternateContent>
  <xr:revisionPtr revIDLastSave="0" documentId="13_ncr:1_{F56F5BAF-BDFF-7841-9519-ADC9E4B43A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 Build" sheetId="1" r:id="rId1"/>
  </sheets>
  <definedNames>
    <definedName name="_xlnm._FilterDatabase" localSheetId="0" hidden="1">'New Build'!$B$84:$I$99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31HQyQe5LPGVj5qMnk8jg4nWwOvRCKo/s3at5nsECo="/>
    </ext>
  </extLst>
</workbook>
</file>

<file path=xl/calcChain.xml><?xml version="1.0" encoding="utf-8"?>
<calcChain xmlns="http://schemas.openxmlformats.org/spreadsheetml/2006/main">
  <c r="K110" i="1" l="1"/>
  <c r="I33" i="1"/>
  <c r="H33" i="1"/>
  <c r="G33" i="1"/>
  <c r="C481" i="1"/>
  <c r="C482" i="1"/>
  <c r="C483" i="1"/>
  <c r="B483" i="1"/>
  <c r="B482" i="1"/>
  <c r="B481" i="1"/>
  <c r="G449" i="1"/>
  <c r="H449" i="1" s="1"/>
  <c r="I449" i="1" s="1"/>
  <c r="K447" i="1" s="1"/>
  <c r="F483" i="1" s="1"/>
  <c r="G445" i="1"/>
  <c r="H445" i="1" s="1"/>
  <c r="I445" i="1" s="1"/>
  <c r="K443" i="1" s="1"/>
  <c r="F482" i="1" s="1"/>
  <c r="G441" i="1"/>
  <c r="H441" i="1" s="1"/>
  <c r="I441" i="1" s="1"/>
  <c r="K439" i="1" s="1"/>
  <c r="F481" i="1" s="1"/>
  <c r="G405" i="1"/>
  <c r="H405" i="1" s="1"/>
  <c r="I405" i="1" s="1"/>
  <c r="G406" i="1"/>
  <c r="H406" i="1" s="1"/>
  <c r="I406" i="1" s="1"/>
  <c r="G407" i="1"/>
  <c r="H407" i="1" s="1"/>
  <c r="I407" i="1" s="1"/>
  <c r="G410" i="1"/>
  <c r="H410" i="1" s="1"/>
  <c r="I410" i="1" s="1"/>
  <c r="G412" i="1"/>
  <c r="H412" i="1" s="1"/>
  <c r="I412" i="1" s="1"/>
  <c r="G413" i="1"/>
  <c r="H413" i="1" s="1"/>
  <c r="I413" i="1" s="1"/>
  <c r="G417" i="1"/>
  <c r="H417" i="1" s="1"/>
  <c r="I417" i="1" s="1"/>
  <c r="G418" i="1"/>
  <c r="H418" i="1" s="1"/>
  <c r="I418" i="1" s="1"/>
  <c r="G421" i="1"/>
  <c r="H421" i="1" s="1"/>
  <c r="I421" i="1" s="1"/>
  <c r="G423" i="1"/>
  <c r="H423" i="1" s="1"/>
  <c r="I423" i="1" s="1"/>
  <c r="G424" i="1"/>
  <c r="H424" i="1" s="1"/>
  <c r="I424" i="1" s="1"/>
  <c r="G427" i="1"/>
  <c r="H427" i="1" s="1"/>
  <c r="I427" i="1" s="1"/>
  <c r="G428" i="1"/>
  <c r="H428" i="1" s="1"/>
  <c r="I428" i="1" s="1"/>
  <c r="G429" i="1"/>
  <c r="H429" i="1" s="1"/>
  <c r="I429" i="1" s="1"/>
  <c r="G430" i="1"/>
  <c r="H430" i="1" s="1"/>
  <c r="I430" i="1" s="1"/>
  <c r="G431" i="1"/>
  <c r="H431" i="1" s="1"/>
  <c r="I431" i="1" s="1"/>
  <c r="G432" i="1"/>
  <c r="H432" i="1" s="1"/>
  <c r="I432" i="1" s="1"/>
  <c r="G433" i="1"/>
  <c r="H433" i="1" s="1"/>
  <c r="I433" i="1" s="1"/>
  <c r="G382" i="1"/>
  <c r="H382" i="1" s="1"/>
  <c r="I382" i="1" s="1"/>
  <c r="G383" i="1"/>
  <c r="H383" i="1" s="1"/>
  <c r="I383" i="1" s="1"/>
  <c r="G384" i="1"/>
  <c r="H384" i="1" s="1"/>
  <c r="I384" i="1" s="1"/>
  <c r="G385" i="1"/>
  <c r="H385" i="1" s="1"/>
  <c r="I385" i="1" s="1"/>
  <c r="G386" i="1"/>
  <c r="H386" i="1" s="1"/>
  <c r="I386" i="1" s="1"/>
  <c r="G387" i="1"/>
  <c r="H387" i="1" s="1"/>
  <c r="I387" i="1" s="1"/>
  <c r="G377" i="1"/>
  <c r="H377" i="1" s="1"/>
  <c r="I377" i="1" s="1"/>
  <c r="G378" i="1"/>
  <c r="H378" i="1" s="1"/>
  <c r="I378" i="1" s="1"/>
  <c r="G379" i="1"/>
  <c r="H379" i="1" s="1"/>
  <c r="I379" i="1" s="1"/>
  <c r="G380" i="1"/>
  <c r="H380" i="1" s="1"/>
  <c r="I380" i="1" s="1"/>
  <c r="G381" i="1"/>
  <c r="H381" i="1" s="1"/>
  <c r="I381" i="1" s="1"/>
  <c r="G390" i="1"/>
  <c r="H390" i="1" s="1"/>
  <c r="I390" i="1" s="1"/>
  <c r="G391" i="1"/>
  <c r="H391" i="1" s="1"/>
  <c r="I391" i="1" s="1"/>
  <c r="G392" i="1"/>
  <c r="H392" i="1" s="1"/>
  <c r="I392" i="1" s="1"/>
  <c r="G393" i="1"/>
  <c r="H393" i="1" s="1"/>
  <c r="I393" i="1" s="1"/>
  <c r="G394" i="1"/>
  <c r="H394" i="1" s="1"/>
  <c r="I394" i="1" s="1"/>
  <c r="G395" i="1"/>
  <c r="H395" i="1" s="1"/>
  <c r="I395" i="1" s="1"/>
  <c r="G396" i="1"/>
  <c r="H396" i="1" s="1"/>
  <c r="I396" i="1" s="1"/>
  <c r="G397" i="1"/>
  <c r="H397" i="1" s="1"/>
  <c r="I397" i="1" s="1"/>
  <c r="G398" i="1"/>
  <c r="H398" i="1" s="1"/>
  <c r="I398" i="1" s="1"/>
  <c r="G400" i="1"/>
  <c r="H400" i="1" s="1"/>
  <c r="I400" i="1" s="1"/>
  <c r="G401" i="1"/>
  <c r="H401" i="1" s="1"/>
  <c r="I401" i="1" s="1"/>
  <c r="G366" i="1"/>
  <c r="H366" i="1" s="1"/>
  <c r="I366" i="1" s="1"/>
  <c r="G367" i="1"/>
  <c r="H367" i="1" s="1"/>
  <c r="I367" i="1" s="1"/>
  <c r="G369" i="1"/>
  <c r="H369" i="1" s="1"/>
  <c r="I369" i="1" s="1"/>
  <c r="G370" i="1"/>
  <c r="H370" i="1" s="1"/>
  <c r="I370" i="1" s="1"/>
  <c r="G371" i="1"/>
  <c r="H371" i="1" s="1"/>
  <c r="I371" i="1" s="1"/>
  <c r="G372" i="1"/>
  <c r="H372" i="1" s="1"/>
  <c r="I372" i="1" s="1"/>
  <c r="G357" i="1"/>
  <c r="H357" i="1" s="1"/>
  <c r="I357" i="1" s="1"/>
  <c r="G358" i="1"/>
  <c r="H358" i="1" s="1"/>
  <c r="I358" i="1" s="1"/>
  <c r="G360" i="1"/>
  <c r="H360" i="1" s="1"/>
  <c r="I360" i="1" s="1"/>
  <c r="G361" i="1"/>
  <c r="H361" i="1" s="1"/>
  <c r="I361" i="1" s="1"/>
  <c r="G362" i="1"/>
  <c r="H362" i="1" s="1"/>
  <c r="I362" i="1" s="1"/>
  <c r="G342" i="1"/>
  <c r="H342" i="1" s="1"/>
  <c r="I342" i="1" s="1"/>
  <c r="G343" i="1"/>
  <c r="H343" i="1" s="1"/>
  <c r="I343" i="1" s="1"/>
  <c r="G344" i="1"/>
  <c r="H344" i="1" s="1"/>
  <c r="I344" i="1" s="1"/>
  <c r="G345" i="1"/>
  <c r="H345" i="1" s="1"/>
  <c r="I345" i="1" s="1"/>
  <c r="G346" i="1"/>
  <c r="H346" i="1" s="1"/>
  <c r="I346" i="1" s="1"/>
  <c r="G347" i="1"/>
  <c r="H347" i="1" s="1"/>
  <c r="I347" i="1" s="1"/>
  <c r="G348" i="1"/>
  <c r="H348" i="1" s="1"/>
  <c r="I348" i="1" s="1"/>
  <c r="G349" i="1"/>
  <c r="H349" i="1" s="1"/>
  <c r="I349" i="1" s="1"/>
  <c r="G350" i="1"/>
  <c r="H350" i="1" s="1"/>
  <c r="I350" i="1" s="1"/>
  <c r="G351" i="1"/>
  <c r="H351" i="1" s="1"/>
  <c r="I351" i="1" s="1"/>
  <c r="G352" i="1"/>
  <c r="H352" i="1" s="1"/>
  <c r="I352" i="1" s="1"/>
  <c r="G353" i="1"/>
  <c r="H353" i="1" s="1"/>
  <c r="I353" i="1" s="1"/>
  <c r="G330" i="1"/>
  <c r="H330" i="1" s="1"/>
  <c r="I330" i="1" s="1"/>
  <c r="G331" i="1"/>
  <c r="H331" i="1" s="1"/>
  <c r="I331" i="1" s="1"/>
  <c r="G332" i="1"/>
  <c r="H332" i="1" s="1"/>
  <c r="I332" i="1" s="1"/>
  <c r="G334" i="1"/>
  <c r="H334" i="1" s="1"/>
  <c r="I334" i="1" s="1"/>
  <c r="G336" i="1"/>
  <c r="H336" i="1" s="1"/>
  <c r="I336" i="1" s="1"/>
  <c r="G323" i="1"/>
  <c r="H323" i="1" s="1"/>
  <c r="I323" i="1" s="1"/>
  <c r="G325" i="1"/>
  <c r="H325" i="1" s="1"/>
  <c r="I325" i="1" s="1"/>
  <c r="G308" i="1"/>
  <c r="H308" i="1" s="1"/>
  <c r="I308" i="1" s="1"/>
  <c r="G309" i="1"/>
  <c r="H309" i="1" s="1"/>
  <c r="I309" i="1" s="1"/>
  <c r="G310" i="1"/>
  <c r="H310" i="1" s="1"/>
  <c r="I310" i="1" s="1"/>
  <c r="G311" i="1"/>
  <c r="H311" i="1" s="1"/>
  <c r="I311" i="1" s="1"/>
  <c r="G312" i="1"/>
  <c r="H312" i="1" s="1"/>
  <c r="I312" i="1" s="1"/>
  <c r="G313" i="1"/>
  <c r="H313" i="1" s="1"/>
  <c r="I313" i="1" s="1"/>
  <c r="G314" i="1"/>
  <c r="H314" i="1" s="1"/>
  <c r="I314" i="1" s="1"/>
  <c r="G315" i="1"/>
  <c r="H315" i="1" s="1"/>
  <c r="I315" i="1" s="1"/>
  <c r="G316" i="1"/>
  <c r="H316" i="1" s="1"/>
  <c r="I316" i="1" s="1"/>
  <c r="G317" i="1"/>
  <c r="H317" i="1" s="1"/>
  <c r="I317" i="1" s="1"/>
  <c r="G319" i="1"/>
  <c r="H319" i="1" s="1"/>
  <c r="I319" i="1" s="1"/>
  <c r="G283" i="1"/>
  <c r="H283" i="1" s="1"/>
  <c r="I283" i="1" s="1"/>
  <c r="G284" i="1"/>
  <c r="H284" i="1" s="1"/>
  <c r="I284" i="1" s="1"/>
  <c r="G287" i="1"/>
  <c r="H287" i="1" s="1"/>
  <c r="I287" i="1" s="1"/>
  <c r="G288" i="1"/>
  <c r="H288" i="1" s="1"/>
  <c r="I288" i="1" s="1"/>
  <c r="G289" i="1"/>
  <c r="H289" i="1" s="1"/>
  <c r="I289" i="1" s="1"/>
  <c r="G290" i="1"/>
  <c r="H290" i="1" s="1"/>
  <c r="I290" i="1" s="1"/>
  <c r="G291" i="1"/>
  <c r="H291" i="1" s="1"/>
  <c r="I291" i="1" s="1"/>
  <c r="G292" i="1"/>
  <c r="H292" i="1" s="1"/>
  <c r="I292" i="1" s="1"/>
  <c r="G294" i="1"/>
  <c r="H294" i="1" s="1"/>
  <c r="I294" i="1" s="1"/>
  <c r="G295" i="1"/>
  <c r="H295" i="1" s="1"/>
  <c r="I295" i="1" s="1"/>
  <c r="G296" i="1"/>
  <c r="H296" i="1" s="1"/>
  <c r="I296" i="1" s="1"/>
  <c r="G297" i="1"/>
  <c r="H297" i="1" s="1"/>
  <c r="I297" i="1" s="1"/>
  <c r="G298" i="1"/>
  <c r="H298" i="1" s="1"/>
  <c r="I298" i="1" s="1"/>
  <c r="G265" i="1"/>
  <c r="H265" i="1" s="1"/>
  <c r="I265" i="1" s="1"/>
  <c r="G266" i="1"/>
  <c r="H266" i="1" s="1"/>
  <c r="I266" i="1" s="1"/>
  <c r="G269" i="1"/>
  <c r="H269" i="1" s="1"/>
  <c r="I269" i="1" s="1"/>
  <c r="G270" i="1"/>
  <c r="H270" i="1" s="1"/>
  <c r="I270" i="1" s="1"/>
  <c r="G272" i="1"/>
  <c r="H272" i="1" s="1"/>
  <c r="I272" i="1" s="1"/>
  <c r="G274" i="1"/>
  <c r="H274" i="1" s="1"/>
  <c r="I274" i="1" s="1"/>
  <c r="G251" i="1"/>
  <c r="H251" i="1" s="1"/>
  <c r="I251" i="1" s="1"/>
  <c r="G252" i="1"/>
  <c r="H252" i="1" s="1"/>
  <c r="I252" i="1" s="1"/>
  <c r="G249" i="1"/>
  <c r="H249" i="1" s="1"/>
  <c r="I249" i="1" s="1"/>
  <c r="G250" i="1"/>
  <c r="H250" i="1" s="1"/>
  <c r="I250" i="1" s="1"/>
  <c r="G255" i="1"/>
  <c r="H255" i="1" s="1"/>
  <c r="I255" i="1" s="1"/>
  <c r="G256" i="1"/>
  <c r="H256" i="1" s="1"/>
  <c r="I256" i="1" s="1"/>
  <c r="G257" i="1"/>
  <c r="H257" i="1" s="1"/>
  <c r="I257" i="1" s="1"/>
  <c r="G258" i="1"/>
  <c r="H258" i="1" s="1"/>
  <c r="I258" i="1" s="1"/>
  <c r="G260" i="1"/>
  <c r="H260" i="1" s="1"/>
  <c r="I260" i="1" s="1"/>
  <c r="G231" i="1"/>
  <c r="H231" i="1" s="1"/>
  <c r="I231" i="1" s="1"/>
  <c r="G233" i="1"/>
  <c r="H233" i="1" s="1"/>
  <c r="I233" i="1" s="1"/>
  <c r="G234" i="1"/>
  <c r="H234" i="1" s="1"/>
  <c r="I234" i="1" s="1"/>
  <c r="G235" i="1"/>
  <c r="H235" i="1" s="1"/>
  <c r="I235" i="1" s="1"/>
  <c r="G238" i="1"/>
  <c r="H238" i="1" s="1"/>
  <c r="I238" i="1" s="1"/>
  <c r="G239" i="1"/>
  <c r="H239" i="1" s="1"/>
  <c r="I239" i="1" s="1"/>
  <c r="G241" i="1"/>
  <c r="H241" i="1" s="1"/>
  <c r="I241" i="1" s="1"/>
  <c r="G242" i="1"/>
  <c r="H242" i="1" s="1"/>
  <c r="I242" i="1" s="1"/>
  <c r="G243" i="1"/>
  <c r="H243" i="1" s="1"/>
  <c r="I243" i="1" s="1"/>
  <c r="G244" i="1"/>
  <c r="H244" i="1" s="1"/>
  <c r="I244" i="1" s="1"/>
  <c r="G216" i="1"/>
  <c r="H216" i="1" s="1"/>
  <c r="I216" i="1" s="1"/>
  <c r="G217" i="1"/>
  <c r="H217" i="1" s="1"/>
  <c r="I217" i="1" s="1"/>
  <c r="G219" i="1"/>
  <c r="H219" i="1" s="1"/>
  <c r="I219" i="1" s="1"/>
  <c r="G222" i="1"/>
  <c r="H222" i="1" s="1"/>
  <c r="I222" i="1" s="1"/>
  <c r="G223" i="1"/>
  <c r="H223" i="1" s="1"/>
  <c r="I223" i="1" s="1"/>
  <c r="G224" i="1"/>
  <c r="H224" i="1" s="1"/>
  <c r="I224" i="1" s="1"/>
  <c r="G226" i="1"/>
  <c r="H226" i="1" s="1"/>
  <c r="I226" i="1" s="1"/>
  <c r="G183" i="1"/>
  <c r="H183" i="1" s="1"/>
  <c r="I183" i="1" s="1"/>
  <c r="G184" i="1"/>
  <c r="H184" i="1" s="1"/>
  <c r="G185" i="1"/>
  <c r="H185" i="1" s="1"/>
  <c r="I185" i="1" s="1"/>
  <c r="G186" i="1"/>
  <c r="H186" i="1" s="1"/>
  <c r="I186" i="1" s="1"/>
  <c r="G187" i="1"/>
  <c r="H187" i="1" s="1"/>
  <c r="I187" i="1" s="1"/>
  <c r="G189" i="1"/>
  <c r="H189" i="1" s="1"/>
  <c r="G138" i="1"/>
  <c r="H138" i="1" s="1"/>
  <c r="I138" i="1" s="1"/>
  <c r="G139" i="1"/>
  <c r="H139" i="1" s="1"/>
  <c r="I139" i="1" s="1"/>
  <c r="G140" i="1"/>
  <c r="H140" i="1" s="1"/>
  <c r="G141" i="1"/>
  <c r="H141" i="1" s="1"/>
  <c r="G143" i="1"/>
  <c r="H143" i="1" s="1"/>
  <c r="I143" i="1" s="1"/>
  <c r="G146" i="1"/>
  <c r="G147" i="1"/>
  <c r="H147" i="1" s="1"/>
  <c r="G148" i="1"/>
  <c r="H148" i="1" s="1"/>
  <c r="G149" i="1"/>
  <c r="H149" i="1" s="1"/>
  <c r="G150" i="1"/>
  <c r="H150" i="1" s="1"/>
  <c r="I150" i="1" s="1"/>
  <c r="G152" i="1"/>
  <c r="H152" i="1" s="1"/>
  <c r="I152" i="1" s="1"/>
  <c r="G154" i="1"/>
  <c r="H154" i="1" s="1"/>
  <c r="I154" i="1" s="1"/>
  <c r="G155" i="1"/>
  <c r="H155" i="1" s="1"/>
  <c r="I155" i="1" s="1"/>
  <c r="G156" i="1"/>
  <c r="H156" i="1" s="1"/>
  <c r="G157" i="1"/>
  <c r="H157" i="1" s="1"/>
  <c r="G159" i="1"/>
  <c r="H159" i="1" s="1"/>
  <c r="I159" i="1" s="1"/>
  <c r="G161" i="1"/>
  <c r="H161" i="1" s="1"/>
  <c r="G162" i="1"/>
  <c r="G163" i="1"/>
  <c r="H163" i="1" s="1"/>
  <c r="I163" i="1" s="1"/>
  <c r="G164" i="1"/>
  <c r="H164" i="1" s="1"/>
  <c r="G165" i="1"/>
  <c r="H165" i="1" s="1"/>
  <c r="G167" i="1"/>
  <c r="H167" i="1" s="1"/>
  <c r="I167" i="1" s="1"/>
  <c r="G128" i="1"/>
  <c r="H128" i="1" s="1"/>
  <c r="G129" i="1"/>
  <c r="H129" i="1" s="1"/>
  <c r="G131" i="1"/>
  <c r="H131" i="1" s="1"/>
  <c r="I131" i="1" s="1"/>
  <c r="G133" i="1"/>
  <c r="H133" i="1" s="1"/>
  <c r="G103" i="1"/>
  <c r="H103" i="1" s="1"/>
  <c r="G104" i="1"/>
  <c r="H104" i="1" s="1"/>
  <c r="I104" i="1" s="1"/>
  <c r="G105" i="1"/>
  <c r="H105" i="1" s="1"/>
  <c r="G106" i="1"/>
  <c r="H106" i="1" s="1"/>
  <c r="G107" i="1"/>
  <c r="H107" i="1" s="1"/>
  <c r="I107" i="1" s="1"/>
  <c r="G108" i="1"/>
  <c r="H108" i="1" s="1"/>
  <c r="I108" i="1" s="1"/>
  <c r="G88" i="1"/>
  <c r="H88" i="1" s="1"/>
  <c r="I88" i="1" s="1"/>
  <c r="G89" i="1"/>
  <c r="H89" i="1" s="1"/>
  <c r="G90" i="1"/>
  <c r="H90" i="1" s="1"/>
  <c r="G91" i="1"/>
  <c r="H91" i="1" s="1"/>
  <c r="I91" i="1" s="1"/>
  <c r="G92" i="1"/>
  <c r="G93" i="1"/>
  <c r="H93" i="1" s="1"/>
  <c r="I93" i="1" s="1"/>
  <c r="G94" i="1"/>
  <c r="H94" i="1" s="1"/>
  <c r="I94" i="1" s="1"/>
  <c r="G95" i="1"/>
  <c r="H95" i="1" s="1"/>
  <c r="I95" i="1" s="1"/>
  <c r="G96" i="1"/>
  <c r="G97" i="1"/>
  <c r="H97" i="1" s="1"/>
  <c r="G98" i="1"/>
  <c r="H98" i="1" s="1"/>
  <c r="G99" i="1"/>
  <c r="H99" i="1" s="1"/>
  <c r="I99" i="1" s="1"/>
  <c r="G43" i="1"/>
  <c r="H43" i="1" s="1"/>
  <c r="G44" i="1"/>
  <c r="H44" i="1" s="1"/>
  <c r="G45" i="1"/>
  <c r="H45" i="1" s="1"/>
  <c r="I45" i="1" s="1"/>
  <c r="G46" i="1"/>
  <c r="H46" i="1" s="1"/>
  <c r="G47" i="1"/>
  <c r="G48" i="1"/>
  <c r="H48" i="1" s="1"/>
  <c r="I48" i="1" s="1"/>
  <c r="G49" i="1"/>
  <c r="H49" i="1" s="1"/>
  <c r="G50" i="1"/>
  <c r="H50" i="1" s="1"/>
  <c r="I50" i="1" s="1"/>
  <c r="G51" i="1"/>
  <c r="H51" i="1" s="1"/>
  <c r="I51" i="1" s="1"/>
  <c r="G52" i="1"/>
  <c r="H52" i="1" s="1"/>
  <c r="G53" i="1"/>
  <c r="H53" i="1" s="1"/>
  <c r="I53" i="1" s="1"/>
  <c r="G54" i="1"/>
  <c r="H54" i="1" s="1"/>
  <c r="G55" i="1"/>
  <c r="H55" i="1" s="1"/>
  <c r="G56" i="1"/>
  <c r="H56" i="1" s="1"/>
  <c r="G57" i="1"/>
  <c r="H57" i="1" s="1"/>
  <c r="G60" i="1"/>
  <c r="H60" i="1" s="1"/>
  <c r="I60" i="1" s="1"/>
  <c r="G61" i="1"/>
  <c r="H61" i="1" s="1"/>
  <c r="G62" i="1"/>
  <c r="H62" i="1" s="1"/>
  <c r="I62" i="1" s="1"/>
  <c r="G63" i="1"/>
  <c r="H63" i="1" s="1"/>
  <c r="I63" i="1" s="1"/>
  <c r="G64" i="1"/>
  <c r="H64" i="1" s="1"/>
  <c r="G65" i="1"/>
  <c r="H65" i="1" s="1"/>
  <c r="I65" i="1" s="1"/>
  <c r="G66" i="1"/>
  <c r="H66" i="1" s="1"/>
  <c r="G67" i="1"/>
  <c r="H67" i="1" s="1"/>
  <c r="G68" i="1"/>
  <c r="H68" i="1" s="1"/>
  <c r="I68" i="1" s="1"/>
  <c r="G69" i="1"/>
  <c r="H69" i="1" s="1"/>
  <c r="G70" i="1"/>
  <c r="H70" i="1" s="1"/>
  <c r="G71" i="1"/>
  <c r="H71" i="1" s="1"/>
  <c r="I71" i="1" s="1"/>
  <c r="G72" i="1"/>
  <c r="H72" i="1" s="1"/>
  <c r="I72" i="1" s="1"/>
  <c r="G73" i="1"/>
  <c r="H73" i="1" s="1"/>
  <c r="G74" i="1"/>
  <c r="H74" i="1" s="1"/>
  <c r="I74" i="1" s="1"/>
  <c r="G75" i="1"/>
  <c r="H75" i="1" s="1"/>
  <c r="I75" i="1" s="1"/>
  <c r="G76" i="1"/>
  <c r="H76" i="1" s="1"/>
  <c r="I76" i="1" s="1"/>
  <c r="G78" i="1"/>
  <c r="H78" i="1" s="1"/>
  <c r="G80" i="1"/>
  <c r="H80" i="1" s="1"/>
  <c r="G340" i="1"/>
  <c r="H340" i="1" s="1"/>
  <c r="I340" i="1" s="1"/>
  <c r="G307" i="1"/>
  <c r="H307" i="1" s="1"/>
  <c r="I307" i="1" s="1"/>
  <c r="G279" i="1"/>
  <c r="H279" i="1" s="1"/>
  <c r="I279" i="1" s="1"/>
  <c r="G280" i="1"/>
  <c r="H280" i="1" s="1"/>
  <c r="I280" i="1" s="1"/>
  <c r="G281" i="1"/>
  <c r="H281" i="1" s="1"/>
  <c r="I281" i="1" s="1"/>
  <c r="G282" i="1"/>
  <c r="H282" i="1" s="1"/>
  <c r="I282" i="1" s="1"/>
  <c r="G206" i="1"/>
  <c r="H206" i="1" s="1"/>
  <c r="I206" i="1" s="1"/>
  <c r="G207" i="1"/>
  <c r="H207" i="1" s="1"/>
  <c r="G193" i="1"/>
  <c r="H193" i="1" s="1"/>
  <c r="G194" i="1"/>
  <c r="H194" i="1" s="1"/>
  <c r="I194" i="1" s="1"/>
  <c r="G196" i="1"/>
  <c r="H196" i="1" s="1"/>
  <c r="I196" i="1" s="1"/>
  <c r="G197" i="1"/>
  <c r="H197" i="1" s="1"/>
  <c r="G199" i="1"/>
  <c r="H199" i="1" s="1"/>
  <c r="G200" i="1"/>
  <c r="H200" i="1" s="1"/>
  <c r="I200" i="1" s="1"/>
  <c r="G201" i="1"/>
  <c r="H201" i="1" s="1"/>
  <c r="I201" i="1" s="1"/>
  <c r="G172" i="1"/>
  <c r="H172" i="1" s="1"/>
  <c r="G173" i="1"/>
  <c r="H173" i="1" s="1"/>
  <c r="G174" i="1"/>
  <c r="H174" i="1" s="1"/>
  <c r="I174" i="1" s="1"/>
  <c r="G175" i="1"/>
  <c r="H175" i="1" s="1"/>
  <c r="I175" i="1" s="1"/>
  <c r="G176" i="1"/>
  <c r="H176" i="1" s="1"/>
  <c r="I176" i="1" s="1"/>
  <c r="G177" i="1"/>
  <c r="H177" i="1" s="1"/>
  <c r="G178" i="1"/>
  <c r="H178" i="1" s="1"/>
  <c r="G179" i="1"/>
  <c r="H179" i="1" s="1"/>
  <c r="I179" i="1" s="1"/>
  <c r="G180" i="1"/>
  <c r="H180" i="1" s="1"/>
  <c r="I180" i="1" s="1"/>
  <c r="G181" i="1"/>
  <c r="H181" i="1" s="1"/>
  <c r="G182" i="1"/>
  <c r="H182" i="1" s="1"/>
  <c r="G302" i="1"/>
  <c r="H302" i="1" s="1"/>
  <c r="I302" i="1" s="1"/>
  <c r="G211" i="1"/>
  <c r="H211" i="1" s="1"/>
  <c r="G205" i="1"/>
  <c r="H205" i="1" s="1"/>
  <c r="I205" i="1" s="1"/>
  <c r="G171" i="1"/>
  <c r="H171" i="1" s="1"/>
  <c r="I171" i="1" s="1"/>
  <c r="G20" i="1"/>
  <c r="H20" i="1" s="1"/>
  <c r="G21" i="1"/>
  <c r="G22" i="1"/>
  <c r="G23" i="1"/>
  <c r="H23" i="1" s="1"/>
  <c r="G24" i="1"/>
  <c r="H24" i="1" s="1"/>
  <c r="G25" i="1"/>
  <c r="G26" i="1"/>
  <c r="H26" i="1" s="1"/>
  <c r="G27" i="1"/>
  <c r="H27" i="1" s="1"/>
  <c r="G28" i="1"/>
  <c r="H28" i="1" s="1"/>
  <c r="G29" i="1"/>
  <c r="H29" i="1" s="1"/>
  <c r="G30" i="1"/>
  <c r="H30" i="1" s="1"/>
  <c r="G31" i="1"/>
  <c r="G32" i="1"/>
  <c r="H32" i="1" s="1"/>
  <c r="G34" i="1"/>
  <c r="C480" i="1"/>
  <c r="B480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G437" i="1"/>
  <c r="H437" i="1" s="1"/>
  <c r="I437" i="1" s="1"/>
  <c r="K435" i="1" s="1"/>
  <c r="B479" i="1"/>
  <c r="B478" i="1"/>
  <c r="B477" i="1"/>
  <c r="B476" i="1"/>
  <c r="B475" i="1"/>
  <c r="B474" i="1"/>
  <c r="B460" i="1"/>
  <c r="B459" i="1"/>
  <c r="B458" i="1"/>
  <c r="B457" i="1"/>
  <c r="G38" i="1"/>
  <c r="H38" i="1" s="1"/>
  <c r="B467" i="1"/>
  <c r="B466" i="1"/>
  <c r="B461" i="1"/>
  <c r="B473" i="1"/>
  <c r="B472" i="1"/>
  <c r="B471" i="1"/>
  <c r="B470" i="1"/>
  <c r="B469" i="1"/>
  <c r="B468" i="1"/>
  <c r="B465" i="1"/>
  <c r="B464" i="1"/>
  <c r="B463" i="1"/>
  <c r="B462" i="1"/>
  <c r="B456" i="1"/>
  <c r="B455" i="1"/>
  <c r="G19" i="1"/>
  <c r="H19" i="1" s="1"/>
  <c r="F480" i="1" l="1"/>
  <c r="K403" i="1"/>
  <c r="F479" i="1" s="1"/>
  <c r="I189" i="1"/>
  <c r="I184" i="1"/>
  <c r="I147" i="1"/>
  <c r="I164" i="1"/>
  <c r="I161" i="1"/>
  <c r="I148" i="1"/>
  <c r="H162" i="1"/>
  <c r="I162" i="1" s="1"/>
  <c r="H146" i="1"/>
  <c r="I146" i="1" s="1"/>
  <c r="I156" i="1"/>
  <c r="I140" i="1"/>
  <c r="I165" i="1"/>
  <c r="I149" i="1"/>
  <c r="I157" i="1"/>
  <c r="I141" i="1"/>
  <c r="I129" i="1"/>
  <c r="I128" i="1"/>
  <c r="I133" i="1"/>
  <c r="I105" i="1"/>
  <c r="I103" i="1"/>
  <c r="I106" i="1"/>
  <c r="H96" i="1"/>
  <c r="I96" i="1" s="1"/>
  <c r="I98" i="1"/>
  <c r="I90" i="1"/>
  <c r="H92" i="1"/>
  <c r="I92" i="1" s="1"/>
  <c r="I97" i="1"/>
  <c r="I89" i="1"/>
  <c r="I54" i="1"/>
  <c r="I56" i="1"/>
  <c r="I46" i="1"/>
  <c r="I73" i="1"/>
  <c r="I69" i="1"/>
  <c r="I57" i="1"/>
  <c r="I43" i="1"/>
  <c r="H47" i="1"/>
  <c r="I47" i="1" s="1"/>
  <c r="I55" i="1"/>
  <c r="I44" i="1"/>
  <c r="I49" i="1"/>
  <c r="I52" i="1"/>
  <c r="I64" i="1"/>
  <c r="I61" i="1"/>
  <c r="I66" i="1"/>
  <c r="I80" i="1"/>
  <c r="I78" i="1"/>
  <c r="I67" i="1"/>
  <c r="I70" i="1"/>
  <c r="I207" i="1"/>
  <c r="I199" i="1"/>
  <c r="I193" i="1"/>
  <c r="I197" i="1"/>
  <c r="I182" i="1"/>
  <c r="I181" i="1"/>
  <c r="I173" i="1"/>
  <c r="I178" i="1"/>
  <c r="I172" i="1"/>
  <c r="I177" i="1"/>
  <c r="K364" i="1"/>
  <c r="F477" i="1" s="1"/>
  <c r="I211" i="1"/>
  <c r="H34" i="1"/>
  <c r="I34" i="1" s="1"/>
  <c r="H31" i="1"/>
  <c r="I31" i="1" s="1"/>
  <c r="H25" i="1"/>
  <c r="I25" i="1" s="1"/>
  <c r="I23" i="1"/>
  <c r="H22" i="1"/>
  <c r="I22" i="1" s="1"/>
  <c r="H21" i="1"/>
  <c r="I21" i="1" s="1"/>
  <c r="I20" i="1"/>
  <c r="I30" i="1"/>
  <c r="I24" i="1"/>
  <c r="I29" i="1"/>
  <c r="I28" i="1"/>
  <c r="I27" i="1"/>
  <c r="I32" i="1"/>
  <c r="I26" i="1"/>
  <c r="K374" i="1"/>
  <c r="F478" i="1" s="1"/>
  <c r="K321" i="1"/>
  <c r="F473" i="1" s="1"/>
  <c r="K300" i="1"/>
  <c r="F471" i="1" s="1"/>
  <c r="K327" i="1"/>
  <c r="F474" i="1" s="1"/>
  <c r="K246" i="1"/>
  <c r="F468" i="1" s="1"/>
  <c r="K338" i="1"/>
  <c r="F475" i="1" s="1"/>
  <c r="K355" i="1"/>
  <c r="F476" i="1" s="1"/>
  <c r="I38" i="1"/>
  <c r="I19" i="1"/>
  <c r="K213" i="1"/>
  <c r="F466" i="1" s="1"/>
  <c r="K228" i="1"/>
  <c r="F467" i="1" s="1"/>
  <c r="K276" i="1"/>
  <c r="F470" i="1" s="1"/>
  <c r="K262" i="1"/>
  <c r="F469" i="1" s="1"/>
  <c r="K304" i="1"/>
  <c r="F472" i="1" s="1"/>
  <c r="K169" i="1" l="1"/>
  <c r="F462" i="1" s="1"/>
  <c r="K40" i="1"/>
  <c r="F457" i="1" s="1"/>
  <c r="K191" i="1"/>
  <c r="F463" i="1" s="1"/>
  <c r="K82" i="1"/>
  <c r="F458" i="1" s="1"/>
  <c r="K36" i="1"/>
  <c r="F456" i="1" s="1"/>
  <c r="F460" i="1"/>
  <c r="K135" i="1"/>
  <c r="F461" i="1" s="1"/>
  <c r="K101" i="1"/>
  <c r="F459" i="1" s="1"/>
  <c r="K17" i="1"/>
  <c r="F455" i="1" s="1"/>
  <c r="K203" i="1"/>
  <c r="F464" i="1" s="1"/>
  <c r="K209" i="1"/>
  <c r="F465" i="1" s="1"/>
  <c r="F484" i="1" l="1"/>
  <c r="F485" i="1" s="1"/>
  <c r="F486" i="1" s="1"/>
  <c r="F487" i="1" s="1"/>
  <c r="F488" i="1" s="1"/>
  <c r="J9" i="1" s="1"/>
  <c r="C15" i="1" s="1"/>
</calcChain>
</file>

<file path=xl/sharedStrings.xml><?xml version="1.0" encoding="utf-8"?>
<sst xmlns="http://schemas.openxmlformats.org/spreadsheetml/2006/main" count="982" uniqueCount="408">
  <si>
    <t>Project:</t>
  </si>
  <si>
    <t>Site address:</t>
  </si>
  <si>
    <t>Client:</t>
  </si>
  <si>
    <t>TOTAL ESTIMATED PROJECT COST INCLUDING CONTINGENCIES &amp; GST</t>
  </si>
  <si>
    <t>Current dwelling m2</t>
  </si>
  <si>
    <t>m2</t>
  </si>
  <si>
    <t>Foreman Rate</t>
  </si>
  <si>
    <t>Margin</t>
  </si>
  <si>
    <t>New Build m2</t>
  </si>
  <si>
    <t>Chippies Rate</t>
  </si>
  <si>
    <t>Cost per m2 of alterations</t>
  </si>
  <si>
    <t>/m2</t>
  </si>
  <si>
    <t>Apprentice Rate</t>
  </si>
  <si>
    <t>Zone 1.0</t>
  </si>
  <si>
    <t>SITE SET &amp; P&amp;G</t>
  </si>
  <si>
    <t>Unit</t>
  </si>
  <si>
    <t>Qty</t>
  </si>
  <si>
    <t>Rate</t>
  </si>
  <si>
    <t>Amount</t>
  </si>
  <si>
    <t>Total</t>
  </si>
  <si>
    <t>Notes</t>
  </si>
  <si>
    <t>Preliminaries</t>
  </si>
  <si>
    <t>Item</t>
  </si>
  <si>
    <t>Deliveries</t>
  </si>
  <si>
    <t>Zone 2.0</t>
  </si>
  <si>
    <t>Each</t>
  </si>
  <si>
    <t>Zone 3.0</t>
  </si>
  <si>
    <t>Hrs</t>
  </si>
  <si>
    <t>Zone 4.0</t>
  </si>
  <si>
    <t>Zone 5.0</t>
  </si>
  <si>
    <t>END OF REPORT</t>
  </si>
  <si>
    <t>TRADE SUMMARY</t>
  </si>
  <si>
    <t>SUB TOTAL</t>
  </si>
  <si>
    <t>CONTINGENCIES</t>
  </si>
  <si>
    <t>GST</t>
  </si>
  <si>
    <t>TOTAL ESTIMATED PROJECT COSTS</t>
  </si>
  <si>
    <t>TAGS &amp; QUALIFICATIONS</t>
  </si>
  <si>
    <t>No allowance for any design fees</t>
  </si>
  <si>
    <t>Sundries</t>
  </si>
  <si>
    <t>Architects / Structural drawings</t>
  </si>
  <si>
    <t>No allowance for consent fees, inspection fees, infrastructure contributions, council fees or the like</t>
  </si>
  <si>
    <t>m</t>
  </si>
  <si>
    <t xml:space="preserve">m </t>
  </si>
  <si>
    <t>Zone 6.0</t>
  </si>
  <si>
    <t>Zone 7.0</t>
  </si>
  <si>
    <t>Zone 8.0</t>
  </si>
  <si>
    <t>Zone 9.0</t>
  </si>
  <si>
    <t>Zone 10.0</t>
  </si>
  <si>
    <t>Labour</t>
  </si>
  <si>
    <t>No allowance for any DA conditions or consultant reports</t>
  </si>
  <si>
    <t xml:space="preserve">No allowance for any consultant fees </t>
  </si>
  <si>
    <t>Zone 12.0</t>
  </si>
  <si>
    <t>Zone 13.0</t>
  </si>
  <si>
    <t>m3</t>
  </si>
  <si>
    <t>Zone 14.0</t>
  </si>
  <si>
    <t>Zone 15.0</t>
  </si>
  <si>
    <t>Zone 16.0</t>
  </si>
  <si>
    <t>Zone 17.0</t>
  </si>
  <si>
    <t>Zone 19.0</t>
  </si>
  <si>
    <t>Zone 18.0</t>
  </si>
  <si>
    <t>Zone 20.0</t>
  </si>
  <si>
    <t>Zone 21.0</t>
  </si>
  <si>
    <t>Estimate only, not to be used for contract pricing</t>
  </si>
  <si>
    <t>PC SUM</t>
  </si>
  <si>
    <t>Material</t>
  </si>
  <si>
    <t>Delivery</t>
  </si>
  <si>
    <t>WATERPROOFING</t>
  </si>
  <si>
    <t>Thresholds - Aluminium angle</t>
  </si>
  <si>
    <t>Floor area (2 coat system)</t>
  </si>
  <si>
    <t xml:space="preserve">Upturns &lt;150mm </t>
  </si>
  <si>
    <t>Shower walls &lt;2100mm high</t>
  </si>
  <si>
    <t>TILE SUPPLY (Provisional)</t>
  </si>
  <si>
    <t>Delivery allowance</t>
  </si>
  <si>
    <t>Silicone</t>
  </si>
  <si>
    <t>JOINERY (Provisional)</t>
  </si>
  <si>
    <t>ELECTRICAL SERVICES (Provisional)</t>
  </si>
  <si>
    <t>tonne</t>
  </si>
  <si>
    <t>Zone 11.0</t>
  </si>
  <si>
    <t>Wall Framing Material</t>
  </si>
  <si>
    <t>Wall Framing Labour</t>
  </si>
  <si>
    <t>Roof Framing Material</t>
  </si>
  <si>
    <t>Roof Framing Labour</t>
  </si>
  <si>
    <t>Materials</t>
  </si>
  <si>
    <t>Materials / sundries</t>
  </si>
  <si>
    <t xml:space="preserve">Margin  </t>
  </si>
  <si>
    <t>ROOFING</t>
  </si>
  <si>
    <t>Install floor waste</t>
  </si>
  <si>
    <t>Zone 22.0</t>
  </si>
  <si>
    <t>Zone 23.0</t>
  </si>
  <si>
    <t>Zone 24.0</t>
  </si>
  <si>
    <t>Zone 25.0</t>
  </si>
  <si>
    <t>Zone 26.0</t>
  </si>
  <si>
    <t>PLUMBING &amp; STORMWATER SERVICES (Provisional)</t>
  </si>
  <si>
    <t>GROUNDWORK (Provisional)</t>
  </si>
  <si>
    <t>Plastering</t>
  </si>
  <si>
    <t>Screed to entire floor</t>
  </si>
  <si>
    <t>PAINTING (Provisional)</t>
  </si>
  <si>
    <t xml:space="preserve">No allowance for the supply of any appliances </t>
  </si>
  <si>
    <t>Roof Sheeting &amp; Insulation</t>
  </si>
  <si>
    <t>Roof Plumbing</t>
  </si>
  <si>
    <t>Ceilings</t>
  </si>
  <si>
    <t>Walls</t>
  </si>
  <si>
    <t>TILE INSTALLATION (Provisional)</t>
  </si>
  <si>
    <t>Site Set up &amp; Mobilisation / Demobilisation</t>
  </si>
  <si>
    <t>Site Signage</t>
  </si>
  <si>
    <t>Temporary Services &amp; Connections</t>
  </si>
  <si>
    <t>Temporary Fencing</t>
  </si>
  <si>
    <t>Temporary Toilets</t>
  </si>
  <si>
    <t>Survey &amp; Set Out</t>
  </si>
  <si>
    <t>Project &amp; Site Management</t>
  </si>
  <si>
    <t xml:space="preserve">Miscellaneous Tools and Smalls </t>
  </si>
  <si>
    <t xml:space="preserve">Materials Handling &amp; Lifts </t>
  </si>
  <si>
    <t>Waste Management</t>
  </si>
  <si>
    <t xml:space="preserve">Scaffold </t>
  </si>
  <si>
    <t>Consumables</t>
  </si>
  <si>
    <t>Cleaning</t>
  </si>
  <si>
    <t>Sand Blinding</t>
  </si>
  <si>
    <t>Reinforcement Installation</t>
  </si>
  <si>
    <t>Concrete Supply &amp; Testing 25MPa</t>
  </si>
  <si>
    <t>Concrete Curing</t>
  </si>
  <si>
    <t>Allowance for concrete curing</t>
  </si>
  <si>
    <t>Concrete Pumping</t>
  </si>
  <si>
    <t>Concrete Placement &amp; Finishing</t>
  </si>
  <si>
    <t>Measure</t>
  </si>
  <si>
    <t>Supply &amp; Delivery</t>
  </si>
  <si>
    <t>STRUCTURAL STEEL</t>
  </si>
  <si>
    <t>Tonnage Supply &amp; Install</t>
  </si>
  <si>
    <t>Waste and smalls 10%</t>
  </si>
  <si>
    <t xml:space="preserve">Battens - 70 x 35mm H2 treated pine at 900mm cts </t>
  </si>
  <si>
    <t>Floor Framing Material</t>
  </si>
  <si>
    <t>Floor Framing Labour</t>
  </si>
  <si>
    <t>ALUMINIUM WINDOWS &amp; DOORS</t>
  </si>
  <si>
    <t>Installation</t>
  </si>
  <si>
    <t>10mm plasterboard &lt;2700mm high</t>
  </si>
  <si>
    <t xml:space="preserve">No allowance for disposal of any spoil - to be stockpiled on site </t>
  </si>
  <si>
    <t>New Build</t>
  </si>
  <si>
    <t>Reinforcement Supply &amp; Delivery</t>
  </si>
  <si>
    <t xml:space="preserve">Sundries </t>
  </si>
  <si>
    <t>Concrete pump - line pump</t>
  </si>
  <si>
    <t>Sundries (including builders plastic, chairs, tie wire, ableflex etc.)</t>
  </si>
  <si>
    <t>Waterproofing</t>
  </si>
  <si>
    <t>Supply and application of waterproofing membrane</t>
  </si>
  <si>
    <t>Geofab</t>
  </si>
  <si>
    <t>Agline 100mm round socketed</t>
  </si>
  <si>
    <t>Backfilling</t>
  </si>
  <si>
    <t>Supply and delivery of blue metal backfill x 400mm wide behind retaining wall</t>
  </si>
  <si>
    <t>1.8t excavator hire for moving and placement of blue metal</t>
  </si>
  <si>
    <t>Drainage</t>
  </si>
  <si>
    <t>Flashings &amp; Capping</t>
  </si>
  <si>
    <t>16mm furring channel to internal ceilings</t>
  </si>
  <si>
    <t xml:space="preserve">Square set </t>
  </si>
  <si>
    <t>Bathroom</t>
  </si>
  <si>
    <t>Kitchen</t>
  </si>
  <si>
    <t>Sealing to pavers</t>
  </si>
  <si>
    <t>SHOWER SCREEN (Provisional)</t>
  </si>
  <si>
    <t>FLOOR COVERINGS</t>
  </si>
  <si>
    <t>Fireplace</t>
  </si>
  <si>
    <t>No allowance for the testing or removal of any hazardous materials to the existing structures or in ground</t>
  </si>
  <si>
    <t>No allowance for excavation into rock</t>
  </si>
  <si>
    <t>12 Lyndall Drive Eaglehawk Neck</t>
  </si>
  <si>
    <t>Architect: Plain Architecture / Engineer: Jarred Allen Structural Engineer</t>
  </si>
  <si>
    <t>Insurances</t>
  </si>
  <si>
    <t>N/A</t>
  </si>
  <si>
    <t>Project Manager / Builder ($120 per hour) at 20% of build time: 24 weeks                                                    Foreman ($95 per hour) at 30% of build time: 24 weeks</t>
  </si>
  <si>
    <t>Deliveries &amp; Additional Travel</t>
  </si>
  <si>
    <t xml:space="preserve">SCOPE: Allowance for cut, detailed excavation of footings and stockpile of excess spoil on site </t>
  </si>
  <si>
    <t>CONCRETE</t>
  </si>
  <si>
    <t>Footings 25MPa</t>
  </si>
  <si>
    <t>Deformed Bar (DP1) - N12 central &lt;900mm long</t>
  </si>
  <si>
    <t>Deformed Bar (PF1) - N12 at 200mm cts / both ways / bottom</t>
  </si>
  <si>
    <t>Trench Mesh (PF3) - 3-L12TM top and bottom to perimeter of footing and under block walls</t>
  </si>
  <si>
    <t>Clips (PF3) - Assumed R10 clips at 900mm cts &lt;1600mm long</t>
  </si>
  <si>
    <t>Deformed Bar (Blockwork Starter Bars) - N12 starter bars at 400mm cts &lt;1100mm long</t>
  </si>
  <si>
    <t>Cast in Plates (WP1 &amp; WP2)</t>
  </si>
  <si>
    <t>Installation of reinforcement and cleaning bottom of holes (1 day x 2)</t>
  </si>
  <si>
    <t>DP1 - 450mm diameter bored pier &lt;500mm deep</t>
  </si>
  <si>
    <t xml:space="preserve">PF1 - 1500 x 1500 x 1000mm </t>
  </si>
  <si>
    <t xml:space="preserve">PF2 - 600 x 600 x 1000mm </t>
  </si>
  <si>
    <t>PF3 - 3600 x 1600 x 500mm deep</t>
  </si>
  <si>
    <t>Concrete placement and finishing (1 day x 2)</t>
  </si>
  <si>
    <t>Slabs on Ground 25MPa</t>
  </si>
  <si>
    <t>Supply and install 50mm sand blinding layer to slab area [Area: 72]</t>
  </si>
  <si>
    <t>Formwork</t>
  </si>
  <si>
    <t xml:space="preserve">SR1 rebate to S1 infill slab </t>
  </si>
  <si>
    <t>Edge board to S2 slab</t>
  </si>
  <si>
    <t>Trench Mesh (ST1) - 3-L12TM top and bottom</t>
  </si>
  <si>
    <t>Clips (ST1) - Assumed R10 clips at 900mm cts &lt;2000mm long</t>
  </si>
  <si>
    <t>Slab Mesh (S1, S2) - SL82 top</t>
  </si>
  <si>
    <t xml:space="preserve">Deformed Bar (Timmers) - N12 to perimeter of slabs </t>
  </si>
  <si>
    <t>Dowels (CJ1) - Galvanised R12 dowels at 400mm cts &lt;400mm long</t>
  </si>
  <si>
    <t>Installation of reinforcement (1 day x 3)</t>
  </si>
  <si>
    <t>ST1 - 400 x 500mm</t>
  </si>
  <si>
    <t>S1 - 120mm thick</t>
  </si>
  <si>
    <t>S2 - 100mm thick</t>
  </si>
  <si>
    <t>Concrete placement and finishing (1 day x 4)</t>
  </si>
  <si>
    <t>Off Form Fireplace Bench (First Floor) - Provisional</t>
  </si>
  <si>
    <t xml:space="preserve">Provisional allowance for the supply and installation of an off form concrete bench to the fire floor fireplace </t>
  </si>
  <si>
    <t>Driveway - Provisional</t>
  </si>
  <si>
    <t>Provisional allowance for the supply and installation of an assumed 120mm thick concrete driveway up to 35m2 only</t>
  </si>
  <si>
    <t>Includes 20% waste in rate</t>
  </si>
  <si>
    <t>Includes 10% waste in rate</t>
  </si>
  <si>
    <t>BLOCKWORK</t>
  </si>
  <si>
    <t>Block Supply</t>
  </si>
  <si>
    <t>Standard Blocks - 390 x 190 x 190mm / Charcoal Grey &lt;2800mm high (Ground Floor) [Length: 16]</t>
  </si>
  <si>
    <t>Standard Blocks - 390 x 190 x 190mm / Charcoal Grey &lt;3400mm high (Ground Floor) [Length: 15]</t>
  </si>
  <si>
    <t>Standard Blocks - 390 x 190 x 190mm / Charcoal Grey &lt;4500mm high (First Floor) [Length: 17]</t>
  </si>
  <si>
    <t>Standard Blocks - 390 x 190 x 190mm / Charcoal Grey</t>
  </si>
  <si>
    <t>Sand and Cement</t>
  </si>
  <si>
    <t>Sand and cement allowance including deliveries</t>
  </si>
  <si>
    <t>Reinforcement Supply</t>
  </si>
  <si>
    <t>Vertical Bars - N16 at 400mm cts</t>
  </si>
  <si>
    <t>Horizontal Bars - N12 at 40mm cts</t>
  </si>
  <si>
    <t>Block &amp; Reinforcement Installation</t>
  </si>
  <si>
    <t>Installation of blocks and reinforcement - per block rate</t>
  </si>
  <si>
    <t xml:space="preserve">Saw hire for block cuts </t>
  </si>
  <si>
    <t>Core Filling &amp; Additives</t>
  </si>
  <si>
    <t>Xypex additive</t>
  </si>
  <si>
    <t>Concrete pump - allowed 3 x pumps</t>
  </si>
  <si>
    <t>Labour allowance for concrete pumping (8 hrs x 3)</t>
  </si>
  <si>
    <t>Supply of block mix</t>
  </si>
  <si>
    <t>BACKFILLING &amp; DRAINAGE TO RETAINING WALL</t>
  </si>
  <si>
    <t>Labour allowance for the installation of geofab, agline and backfilling (4 hrs x 3)</t>
  </si>
  <si>
    <t>C1 - 89 x 89 x 5.0mm SHS &lt;3400mm high (12.4 kg/m)</t>
  </si>
  <si>
    <t>C1 - 89 x 89 x 5.0mm SHS &lt;4100mm high (12.4 kg/m)</t>
  </si>
  <si>
    <t>C2 - 100 x 100 x 4.0mm SHS &lt;7400mm high (12.1 kg/m)</t>
  </si>
  <si>
    <t>C3 - 89 x 89 x 5.0mm SHS &lt;4100mm high (12.4 kg/m)</t>
  </si>
  <si>
    <t>C4 - 89 x 89 x 3.5mm SHS &lt;750mm high (9.51 kg/m)</t>
  </si>
  <si>
    <t>FB1 - 410 UB 54 (54 kg/m)</t>
  </si>
  <si>
    <t>FB2 - 300 PFC (40.1 kg/m)</t>
  </si>
  <si>
    <t>FB3 - 200 PFC (22.9 kg/m)</t>
  </si>
  <si>
    <t>FB4 - 310 UB 40 (40 kg/m)</t>
  </si>
  <si>
    <t>Br1 - 20mm rod (2.47 kg/m)</t>
  </si>
  <si>
    <t>Br3 - 89 x 89 x 5.0mm SHS (12.4 kg/m)</t>
  </si>
  <si>
    <t>Tr1 - 2/100 x 50 x 6.0mm RHS (26.2 kg/m)</t>
  </si>
  <si>
    <t>RB1 - 380 PFC (55.2 kg/m)</t>
  </si>
  <si>
    <t>RB2 - 200 PFC (22.9 kg/m)</t>
  </si>
  <si>
    <t>RB3 - 89 x 89 x 5.0mm SHS (12.4 kg/m)</t>
  </si>
  <si>
    <t>Total tonnage supply, galvanise and installation labour</t>
  </si>
  <si>
    <t>Site Welding</t>
  </si>
  <si>
    <t>Allowance for site welding (1 day x 1 + materials)</t>
  </si>
  <si>
    <t>BWIC - Structural Steel</t>
  </si>
  <si>
    <t>Crane hire for erection of steel (2 days)</t>
  </si>
  <si>
    <t>Ground Floor</t>
  </si>
  <si>
    <t>*** Brock Building Systems Quote 152741 Dated 26/04/2024 *** Ground Floor - Frame</t>
  </si>
  <si>
    <t>*** Brock Building Systems Quote 152741 Dated 26/04/2024 *** Ground Floor - Lintels &amp; Beams</t>
  </si>
  <si>
    <t>*** Brock Building Systems Quote 152741 Dated 26/04/2024 *** Ground Floor - Insulation &amp; Wrap</t>
  </si>
  <si>
    <t>Labour allowance for the installation of wall framing, lintels, wall wrap and insulation (1.5 days x 3)</t>
  </si>
  <si>
    <t>First Floor</t>
  </si>
  <si>
    <t>*** Brock Building Systems Quote 153164 Dated 02/05/2024 *** - Tillings Smart LVL 15 Floor System Quote</t>
  </si>
  <si>
    <t>*** Brock Building Systems Quote 155502 Dated 30/05/2024 *** Upper Level - Frame (Including Durafloor and particleboard flooring only)</t>
  </si>
  <si>
    <t>*** Brock Building Systems Quote 155502 Dated 30/05/2024 *** Upper Level - Deck</t>
  </si>
  <si>
    <t>Additional sundries NOT included in Brock Building Systems quote</t>
  </si>
  <si>
    <t>Labour allowance for the installation of floor framing as per the Tilling layout including joists, blocking, particleboard flooring and fibre cement flooring (5 days x 3)</t>
  </si>
  <si>
    <t>*** Brock Building Systems Quote 155502 Dated 30/05/2024 *** Upper Level - Frame (not including Durafloor or particleboard flooring - refer to Floor Framing Material)</t>
  </si>
  <si>
    <t>*** Brock Building Systems Quote 155502 Dated 30/05/2024 *** Upper Level - Lintels &amp; Beams</t>
  </si>
  <si>
    <t>*** Brock Building Systems Quote 155502 Dated 30/05/2024 *** Upper Level - Insulation &amp; Wrap</t>
  </si>
  <si>
    <t>Labour allowance for the installation of wall framing, lintels, wall wrap and insulation (5 days x 3)</t>
  </si>
  <si>
    <t>*** Brock Building Systems Quote 155502 Dated 30/05/2024 *** Upper Level - Roof Framing</t>
  </si>
  <si>
    <t>RT1 - Prefabricated roof trusses</t>
  </si>
  <si>
    <t>Additional sundries NOT included in Brock Building Systems quote for trusses and battens</t>
  </si>
  <si>
    <t>Labour allowance for the installation of roof beams, blocking, prefabricated trusses and roof battens (4 days x 3)</t>
  </si>
  <si>
    <t>Quote</t>
  </si>
  <si>
    <t>STRUCTURAL FRAMING &amp; INSULATION</t>
  </si>
  <si>
    <t>W01 - 1790 x 900mm / aluminium frames / double glazed / sliding window / stainless steel mesh screen</t>
  </si>
  <si>
    <t>W02 - 2130 x 1700mm high / aluminium frames / double glazed</t>
  </si>
  <si>
    <t>W03 - 1700 x 2300mm high / aluminium frames / double glazed</t>
  </si>
  <si>
    <t>W04 - 2725 x 2300mm high / aluminium frames / double glazed</t>
  </si>
  <si>
    <t>W05 - 2725 x 2300mm high / aluminium frames / double glazed / 1 x fixed panel and 1 x operable panel / stainless steel mesh screen</t>
  </si>
  <si>
    <t>W06 - 600 x 600mm high / aluminium frames / double glazed / casement window / stainless steel mesh screen</t>
  </si>
  <si>
    <t>W07 - 1700 x 2300mm high / aluminium frames / double glazed</t>
  </si>
  <si>
    <t>W08 - 2330 x 2300mm high / aluminium frames / double glazed / 1 x fixed panel and 1 x operable panel / stainless steel mesh screen</t>
  </si>
  <si>
    <t>W09 - 600 x 600mm high / aluminium frames / double glazed / casement window / stainless steel mesh screen</t>
  </si>
  <si>
    <t>W10 - 2340 x 900mm high / aluminium frames / double glazed</t>
  </si>
  <si>
    <t>W11 - 2340 x 900mm high / aluminium frames / double glazed</t>
  </si>
  <si>
    <t>W12 - 1020 x 2700mm high / aluminium frames / double glazed / 1 x fixed panel and 1 x operable panel / stainless steel mesh screen</t>
  </si>
  <si>
    <t>W13 - 1790 x 1200mm / aluminium frames / double glazed / sliding window / stainless steel mesh screen</t>
  </si>
  <si>
    <t>W14 - 2500 x 1700mm high / aluminium frames / double glazed</t>
  </si>
  <si>
    <t>D01 - 2700 x 930mm / aluminium frame / double glazed / hinged door</t>
  </si>
  <si>
    <t>D04 - 2700 x 970mm / aluminium frame / double glazed / hinged door</t>
  </si>
  <si>
    <t>D06 - 2700 x 930mm / aluminium frame / double glazed / hinged door</t>
  </si>
  <si>
    <t>Installation of aluminium windows and doors - 17 x units (1.5 days x 3)</t>
  </si>
  <si>
    <t>Roof Sarking</t>
  </si>
  <si>
    <t>RT-01 Roof Sheeting - Lysaght spandek</t>
  </si>
  <si>
    <t xml:space="preserve">Apron flashing including box gutter flashing </t>
  </si>
  <si>
    <t>Parapet capping</t>
  </si>
  <si>
    <t>Box Gutter - 400mm wide stainless steel</t>
  </si>
  <si>
    <t>Sump and overflow</t>
  </si>
  <si>
    <t>Downpipes - 100mm round &lt;6600mm long</t>
  </si>
  <si>
    <t>SKYLIGHTS (Provisional)</t>
  </si>
  <si>
    <t xml:space="preserve">Provisional allowance for the supply and installation of a fixed VELUX double glazed skylight approx 1000 x 1200mm </t>
  </si>
  <si>
    <t xml:space="preserve">Provisional allowance for the supply and installation of a fixed VELUX double glazed skylight approx 1200 x 1200mm </t>
  </si>
  <si>
    <t xml:space="preserve">Provisional allowance for the supply and installation of a fixed VELUX double glazed skylight approx 1000 x 3300mm </t>
  </si>
  <si>
    <t>METAL CLADDING (Provisional)</t>
  </si>
  <si>
    <t>Provisional allowance for the supply and installation of CLD-03 metal cladding including W04 and W05 window surround</t>
  </si>
  <si>
    <t>CLADDING &amp; SOFFITS</t>
  </si>
  <si>
    <t>*** Brock Building Systems Quote 152741 Dated 26/04/2024 *** Ground Floor - Lock Up</t>
  </si>
  <si>
    <t>Labour allowance for the installation of eave blocking, subfloor ceiling linings, beading and external door complete with hardware (1.5 days x 3)</t>
  </si>
  <si>
    <t>*** Brock Building Systems Quote 155502 Dated 30/05/2024 *** - Lockup</t>
  </si>
  <si>
    <t xml:space="preserve">*** Brock Building Systems Quote 155502 Dated 30/05/2024 *** - Upper Level - Cladding </t>
  </si>
  <si>
    <t>Labour allowance for the installation of eave blocking, eave linings, beading, external door complete with hardware and external cladding (7 days x 3)</t>
  </si>
  <si>
    <t xml:space="preserve">Labour </t>
  </si>
  <si>
    <t xml:space="preserve">PLASTERING </t>
  </si>
  <si>
    <t>Ground Floor (Bathroom)</t>
  </si>
  <si>
    <t>6mm villaboard to wet areas &lt;2600mm high</t>
  </si>
  <si>
    <t>10mm WR plasterboard to wet area ceiling</t>
  </si>
  <si>
    <t>6mm villaboard to wet areas &lt;2700mm high and 3800mm max height to skylight shaft</t>
  </si>
  <si>
    <t>16mm furring channel to internal ceilings (wet area only)</t>
  </si>
  <si>
    <t>Square set</t>
  </si>
  <si>
    <t>Tearaway bead to CL01 ceiling</t>
  </si>
  <si>
    <t>Bathroom / Laundry</t>
  </si>
  <si>
    <t>Patio</t>
  </si>
  <si>
    <t>Floor Tile - 300 x 300 x 10mm ceramic tile / satin finish</t>
  </si>
  <si>
    <t>Wall Tile - 300 x 100 x 10mm ceramic tile &lt;2600mm high</t>
  </si>
  <si>
    <t>Wall Tile - 300 x 100 x 10mm ceramic tile &lt;3800mm max height and 2700mm high to remainder of walls</t>
  </si>
  <si>
    <t>EF01 Sandstone Paving - Local sandstone paving</t>
  </si>
  <si>
    <t>Wall Tile - 300 x 100 x 10mm ceramic tile &lt;2700mm high and 3800mm max height to skylight saft</t>
  </si>
  <si>
    <t>STAIRS (Provisional)</t>
  </si>
  <si>
    <t xml:space="preserve">Provisional sum allowance for the supply and installation of stairs including balustrade </t>
  </si>
  <si>
    <t>FIT OUT (Provisional)</t>
  </si>
  <si>
    <t>*** Brock Building Systems Quote 155502 Dated 30/05/2024 *** - Upper Level - Fit Out (not including blackbutt flooring - Refer to Floor Coverings)</t>
  </si>
  <si>
    <t>CL01 - Spotted Gum Lining Board 122 x 12 Shiplap / V Joint Hardwood</t>
  </si>
  <si>
    <t>WL01 - Spotted Gum Lining Board 122 x 12 Shiplap / V Joint Hardwood</t>
  </si>
  <si>
    <t xml:space="preserve">Window Reveals - Spotted gum window reveals to ground and first flooe bathroom windows </t>
  </si>
  <si>
    <t>D02 Door - Provisional allowance for the supply of D02</t>
  </si>
  <si>
    <t>D05 Door - Provisional allowance for the supply of D05</t>
  </si>
  <si>
    <t>Internal Doors - Provisional allowance for the supply of internal doors not including D02 and D05</t>
  </si>
  <si>
    <t xml:space="preserve">Door Hardware - Allowance for the supply and delivery of door hardware </t>
  </si>
  <si>
    <t>Skirting - Primed Pine 90 x 18 DAR Dressed All Round Finger Jointed F/J White</t>
  </si>
  <si>
    <t>Labour allowance for the installation of timber ceiling linings, timber wall linings, doors, architraves, skirting and bathroom fixtures (5 days x 3)</t>
  </si>
  <si>
    <t>Ground Floor - Bathroom</t>
  </si>
  <si>
    <t>Supply and install 10mm frameless glass shower screen &lt;2315mm high</t>
  </si>
  <si>
    <t>First Floor - Bathroom</t>
  </si>
  <si>
    <t>Supply and install 10mm frameless glass shower screen &lt;2550mm high</t>
  </si>
  <si>
    <t>*** Brock Building Systems Quote 155502 Dated 30/05/2024 *** Upper Level - Fit Out (Including Blackbutt flooring only)</t>
  </si>
  <si>
    <t>Labour allowance for the installation of blackbutt timber flooring (2 days x 3)</t>
  </si>
  <si>
    <t xml:space="preserve">Allowance for the sanding and sealing of new blackbutt flooring </t>
  </si>
  <si>
    <t>Blackbutt Timber Floors (Sand &amp; Seal)</t>
  </si>
  <si>
    <t>Blackbutt Timber Floors (Supply &amp; Installation)</t>
  </si>
  <si>
    <t>Bathroom storage and bench</t>
  </si>
  <si>
    <t>Coat</t>
  </si>
  <si>
    <t>Linen</t>
  </si>
  <si>
    <t>Bathroom vanity</t>
  </si>
  <si>
    <t xml:space="preserve">Bedroom robe </t>
  </si>
  <si>
    <t xml:space="preserve">Bedroom sitting / storage </t>
  </si>
  <si>
    <t>Office deck</t>
  </si>
  <si>
    <t>Office storage</t>
  </si>
  <si>
    <t>Island</t>
  </si>
  <si>
    <t>TV unit</t>
  </si>
  <si>
    <t>Books</t>
  </si>
  <si>
    <t>Electrical Quote</t>
  </si>
  <si>
    <t>*** Independent Electrical Contractors Quote QT01313 Dated 14/05/2024 ***</t>
  </si>
  <si>
    <t>E/O provisional allowance for the supply of specialised lighting</t>
  </si>
  <si>
    <t>BWIC - Electrical</t>
  </si>
  <si>
    <t>1.8 tonne excavator hire (2 x 8hr days)</t>
  </si>
  <si>
    <t>Float</t>
  </si>
  <si>
    <t>Labour allowance for trenching and backfilling with site won material (2 days x 2)</t>
  </si>
  <si>
    <t>Plumbing Quote</t>
  </si>
  <si>
    <t>*** D&amp;J Plumbing &amp; Gas Quote 0100 Dated 01/05/2024 ***</t>
  </si>
  <si>
    <t>E/O provisional allowance for the supply of water pump</t>
  </si>
  <si>
    <t>BWIC - Plumbing</t>
  </si>
  <si>
    <t>5 tonne excavator hire (4 x 8hr days)</t>
  </si>
  <si>
    <t>Positrac hire (2 x 8hr days)</t>
  </si>
  <si>
    <t>Labour allowance for excavation, trenching and backfilling with site won material and material supplied by D&amp;J Plumbing (4 days x 2)</t>
  </si>
  <si>
    <t>SANITARY FIXTURES &amp; FITTINGS (Provisional)</t>
  </si>
  <si>
    <t>Toilet suite</t>
  </si>
  <si>
    <t>Toilet roll holder</t>
  </si>
  <si>
    <t>Basin</t>
  </si>
  <si>
    <t>Basin mixer</t>
  </si>
  <si>
    <t>Shower rose and rail</t>
  </si>
  <si>
    <t>Shower mixer</t>
  </si>
  <si>
    <t>Towel rail</t>
  </si>
  <si>
    <t>Robe hooks</t>
  </si>
  <si>
    <t>Laundry sink</t>
  </si>
  <si>
    <t>Laundry sink mixer</t>
  </si>
  <si>
    <t>Tile insert floor waste</t>
  </si>
  <si>
    <t>Kitchen sink</t>
  </si>
  <si>
    <t>Sink mixer</t>
  </si>
  <si>
    <t>Structural Steel</t>
  </si>
  <si>
    <t>C1 - 89 x 89 x 5.0mm SHS &lt;3400mm high</t>
  </si>
  <si>
    <t xml:space="preserve">C2 - 100 x 100 x 4.0mm SHS &lt;7400mm high </t>
  </si>
  <si>
    <t>C3 - 89 x 89 x 5.0mm SHS &lt;2700mm high</t>
  </si>
  <si>
    <t xml:space="preserve">SL01 subfloor linings </t>
  </si>
  <si>
    <t xml:space="preserve">Spotted gum cladding </t>
  </si>
  <si>
    <t xml:space="preserve">SL01 ceiling linings </t>
  </si>
  <si>
    <t>D02 Door</t>
  </si>
  <si>
    <t xml:space="preserve">D05 Door </t>
  </si>
  <si>
    <t>Internal Doors</t>
  </si>
  <si>
    <t>Cladding &amp; Soffits</t>
  </si>
  <si>
    <t>Fit Out</t>
  </si>
  <si>
    <t>FIREPLACE (Provisional)</t>
  </si>
  <si>
    <t>Provisional allowance for the supply and installation of 2 x wood burner fireplaces complete with flues</t>
  </si>
  <si>
    <t>Zone 27.0</t>
  </si>
  <si>
    <t>LIFT (Provisional)</t>
  </si>
  <si>
    <t>Provisional allowance for the supply and installation of the lift</t>
  </si>
  <si>
    <t>Zone 28.0</t>
  </si>
  <si>
    <t>Provisional allowance for the supply and installation of a dumbwaiter</t>
  </si>
  <si>
    <t>DUMBWAITER (Provisional)</t>
  </si>
  <si>
    <t>Zone 29.0</t>
  </si>
  <si>
    <t>LANDSCAPING (Provisional)</t>
  </si>
  <si>
    <t xml:space="preserve">Provisional allowance for landscaping works </t>
  </si>
  <si>
    <t>No allowance for a lift pit</t>
  </si>
  <si>
    <t>No allowance for termite protection</t>
  </si>
  <si>
    <t>No allowance for any demolition</t>
  </si>
  <si>
    <t>No allowance for any air conditioning</t>
  </si>
  <si>
    <t>No allowance for any tiles reveals</t>
  </si>
  <si>
    <t>No allowance for any underfloor heating</t>
  </si>
  <si>
    <t>Ferguson Building Solutions</t>
  </si>
  <si>
    <t>Quantity Surveying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</si>
</sst>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;\-&quot;$&quot;#,##0.00"/>
    <numFmt numFmtId="164" formatCode="_-* #,##0.00_-;\-* #,##0.00_-;_-* &quot;-&quot;??_-;_-@"/>
    <numFmt numFmtId="165" formatCode="_-&quot;$&quot;* #,##0.00_-;\-&quot;$&quot;* #,##0.00_-;_-&quot;$&quot;* &quot;-&quot;??_-;_-@"/>
    <numFmt numFmtId="166" formatCode="&quot;$&quot;#,##0.00"/>
  </numFmts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i/>
      <sz val="12"/>
      <color rgb="FF000000"/>
      <name val="Arial"/>
      <family val="2"/>
    </font>
    <font>
      <i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2"/>
      <color rgb="FF00000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E49A"/>
        <bgColor rgb="FFFDE49A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2" fillId="2" borderId="3" xfId="0" applyFont="1" applyFill="1" applyBorder="1"/>
    <xf numFmtId="0" fontId="1" fillId="0" borderId="0" xfId="0" applyFont="1" applyAlignment="1">
      <alignment horizontal="center"/>
    </xf>
    <xf numFmtId="164" fontId="1" fillId="0" borderId="0" xfId="0" applyNumberFormat="1" applyFont="1"/>
    <xf numFmtId="165" fontId="1" fillId="2" borderId="7" xfId="0" applyNumberFormat="1" applyFont="1" applyFill="1" applyBorder="1"/>
    <xf numFmtId="166" fontId="1" fillId="2" borderId="8" xfId="0" applyNumberFormat="1" applyFont="1" applyFill="1" applyBorder="1"/>
    <xf numFmtId="166" fontId="1" fillId="0" borderId="2" xfId="0" applyNumberFormat="1" applyFont="1" applyBorder="1"/>
    <xf numFmtId="0" fontId="1" fillId="0" borderId="0" xfId="0" applyFont="1"/>
    <xf numFmtId="0" fontId="2" fillId="2" borderId="9" xfId="0" applyFont="1" applyFill="1" applyBorder="1" applyAlignment="1">
      <alignment wrapText="1"/>
    </xf>
    <xf numFmtId="165" fontId="3" fillId="2" borderId="10" xfId="0" applyNumberFormat="1" applyFont="1" applyFill="1" applyBorder="1"/>
    <xf numFmtId="165" fontId="2" fillId="2" borderId="11" xfId="0" applyNumberFormat="1" applyFont="1" applyFill="1" applyBorder="1" applyAlignment="1">
      <alignment horizontal="right"/>
    </xf>
    <xf numFmtId="165" fontId="1" fillId="2" borderId="11" xfId="0" applyNumberFormat="1" applyFont="1" applyFill="1" applyBorder="1"/>
    <xf numFmtId="166" fontId="1" fillId="2" borderId="12" xfId="0" applyNumberFormat="1" applyFont="1" applyFill="1" applyBorder="1"/>
    <xf numFmtId="0" fontId="5" fillId="2" borderId="9" xfId="0" applyFont="1" applyFill="1" applyBorder="1" applyAlignment="1">
      <alignment wrapText="1"/>
    </xf>
    <xf numFmtId="0" fontId="2" fillId="0" borderId="0" xfId="0" applyFont="1"/>
    <xf numFmtId="165" fontId="3" fillId="2" borderId="13" xfId="0" applyNumberFormat="1" applyFont="1" applyFill="1" applyBorder="1"/>
    <xf numFmtId="165" fontId="3" fillId="2" borderId="14" xfId="0" applyNumberFormat="1" applyFont="1" applyFill="1" applyBorder="1"/>
    <xf numFmtId="165" fontId="1" fillId="2" borderId="14" xfId="0" applyNumberFormat="1" applyFont="1" applyFill="1" applyBorder="1"/>
    <xf numFmtId="166" fontId="1" fillId="2" borderId="15" xfId="0" applyNumberFormat="1" applyFont="1" applyFill="1" applyBorder="1"/>
    <xf numFmtId="165" fontId="3" fillId="0" borderId="0" xfId="0" applyNumberFormat="1" applyFont="1"/>
    <xf numFmtId="165" fontId="6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16" xfId="0" applyFont="1" applyBorder="1"/>
    <xf numFmtId="0" fontId="1" fillId="0" borderId="17" xfId="0" applyFont="1" applyBorder="1"/>
    <xf numFmtId="0" fontId="5" fillId="2" borderId="18" xfId="0" applyFont="1" applyFill="1" applyBorder="1" applyAlignment="1">
      <alignment wrapText="1"/>
    </xf>
    <xf numFmtId="0" fontId="1" fillId="0" borderId="17" xfId="0" applyFont="1" applyBorder="1" applyAlignment="1">
      <alignment horizontal="center"/>
    </xf>
    <xf numFmtId="164" fontId="1" fillId="0" borderId="17" xfId="0" applyNumberFormat="1" applyFont="1" applyBorder="1"/>
    <xf numFmtId="166" fontId="2" fillId="2" borderId="21" xfId="0" applyNumberFormat="1" applyFont="1" applyFill="1" applyBorder="1" applyAlignment="1">
      <alignment vertical="center"/>
    </xf>
    <xf numFmtId="166" fontId="1" fillId="0" borderId="22" xfId="0" applyNumberFormat="1" applyFont="1" applyBorder="1"/>
    <xf numFmtId="0" fontId="1" fillId="0" borderId="23" xfId="0" applyFont="1" applyBorder="1"/>
    <xf numFmtId="0" fontId="1" fillId="0" borderId="24" xfId="0" applyFont="1" applyBorder="1"/>
    <xf numFmtId="0" fontId="3" fillId="0" borderId="24" xfId="0" applyFont="1" applyBorder="1" applyAlignment="1">
      <alignment wrapText="1"/>
    </xf>
    <xf numFmtId="0" fontId="1" fillId="0" borderId="24" xfId="0" applyFont="1" applyBorder="1" applyAlignment="1">
      <alignment horizontal="center"/>
    </xf>
    <xf numFmtId="164" fontId="1" fillId="0" borderId="24" xfId="0" applyNumberFormat="1" applyFont="1" applyBorder="1"/>
    <xf numFmtId="165" fontId="3" fillId="0" borderId="24" xfId="0" applyNumberFormat="1" applyFont="1" applyBorder="1"/>
    <xf numFmtId="165" fontId="1" fillId="0" borderId="24" xfId="0" applyNumberFormat="1" applyFont="1" applyBorder="1"/>
    <xf numFmtId="166" fontId="1" fillId="0" borderId="24" xfId="0" applyNumberFormat="1" applyFont="1" applyBorder="1"/>
    <xf numFmtId="166" fontId="1" fillId="0" borderId="25" xfId="0" applyNumberFormat="1" applyFont="1" applyBorder="1"/>
    <xf numFmtId="0" fontId="5" fillId="2" borderId="3" xfId="0" applyFont="1" applyFill="1" applyBorder="1" applyAlignment="1">
      <alignment horizontal="right" wrapText="1"/>
    </xf>
    <xf numFmtId="0" fontId="5" fillId="2" borderId="26" xfId="0" applyFont="1" applyFill="1" applyBorder="1" applyAlignment="1">
      <alignment wrapText="1"/>
    </xf>
    <xf numFmtId="0" fontId="2" fillId="2" borderId="27" xfId="0" applyFont="1" applyFill="1" applyBorder="1" applyAlignment="1">
      <alignment horizontal="left"/>
    </xf>
    <xf numFmtId="165" fontId="5" fillId="2" borderId="21" xfId="0" applyNumberFormat="1" applyFont="1" applyFill="1" applyBorder="1"/>
    <xf numFmtId="165" fontId="3" fillId="2" borderId="21" xfId="0" applyNumberFormat="1" applyFont="1" applyFill="1" applyBorder="1"/>
    <xf numFmtId="0" fontId="2" fillId="0" borderId="1" xfId="0" applyFont="1" applyBorder="1"/>
    <xf numFmtId="0" fontId="3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2" fillId="2" borderId="3" xfId="0" applyFont="1" applyFill="1" applyBorder="1" applyAlignment="1">
      <alignment horizontal="right"/>
    </xf>
    <xf numFmtId="0" fontId="2" fillId="2" borderId="26" xfId="0" applyFont="1" applyFill="1" applyBorder="1" applyAlignment="1">
      <alignment wrapText="1"/>
    </xf>
    <xf numFmtId="0" fontId="1" fillId="0" borderId="0" xfId="0" applyFont="1" applyAlignment="1">
      <alignment wrapText="1"/>
    </xf>
    <xf numFmtId="7" fontId="2" fillId="2" borderId="26" xfId="0" applyNumberFormat="1" applyFont="1" applyFill="1" applyBorder="1" applyAlignment="1">
      <alignment wrapText="1"/>
    </xf>
    <xf numFmtId="0" fontId="2" fillId="2" borderId="27" xfId="0" quotePrefix="1" applyFont="1" applyFill="1" applyBorder="1" applyAlignment="1">
      <alignment horizontal="left"/>
    </xf>
    <xf numFmtId="0" fontId="3" fillId="0" borderId="17" xfId="0" applyFont="1" applyBorder="1"/>
    <xf numFmtId="0" fontId="3" fillId="0" borderId="17" xfId="0" applyFont="1" applyBorder="1" applyAlignment="1">
      <alignment wrapText="1"/>
    </xf>
    <xf numFmtId="0" fontId="3" fillId="0" borderId="17" xfId="0" applyFont="1" applyBorder="1" applyAlignment="1">
      <alignment horizontal="center"/>
    </xf>
    <xf numFmtId="164" fontId="3" fillId="0" borderId="17" xfId="0" applyNumberFormat="1" applyFont="1" applyBorder="1"/>
    <xf numFmtId="165" fontId="3" fillId="0" borderId="17" xfId="0" applyNumberFormat="1" applyFont="1" applyBorder="1"/>
    <xf numFmtId="0" fontId="3" fillId="0" borderId="22" xfId="0" applyFont="1" applyBorder="1"/>
    <xf numFmtId="166" fontId="3" fillId="0" borderId="0" xfId="0" applyNumberFormat="1" applyFont="1"/>
    <xf numFmtId="0" fontId="2" fillId="2" borderId="26" xfId="0" applyFont="1" applyFill="1" applyBorder="1"/>
    <xf numFmtId="0" fontId="2" fillId="2" borderId="26" xfId="0" applyFont="1" applyFill="1" applyBorder="1" applyAlignment="1">
      <alignment horizontal="center"/>
    </xf>
    <xf numFmtId="164" fontId="2" fillId="2" borderId="26" xfId="0" applyNumberFormat="1" applyFont="1" applyFill="1" applyBorder="1" applyAlignment="1">
      <alignment horizontal="center"/>
    </xf>
    <xf numFmtId="165" fontId="2" fillId="2" borderId="26" xfId="0" applyNumberFormat="1" applyFont="1" applyFill="1" applyBorder="1" applyAlignment="1">
      <alignment horizontal="center"/>
    </xf>
    <xf numFmtId="166" fontId="2" fillId="2" borderId="27" xfId="0" applyNumberFormat="1" applyFont="1" applyFill="1" applyBorder="1"/>
    <xf numFmtId="166" fontId="2" fillId="2" borderId="21" xfId="0" applyNumberFormat="1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166" fontId="2" fillId="0" borderId="0" xfId="0" applyNumberFormat="1" applyFont="1"/>
    <xf numFmtId="166" fontId="2" fillId="0" borderId="2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2" xfId="0" applyNumberFormat="1" applyFont="1" applyBorder="1" applyAlignment="1">
      <alignment horizontal="right"/>
    </xf>
    <xf numFmtId="0" fontId="1" fillId="2" borderId="3" xfId="0" applyFont="1" applyFill="1" applyBorder="1"/>
    <xf numFmtId="166" fontId="2" fillId="2" borderId="27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 vertical="center"/>
    </xf>
    <xf numFmtId="165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2" borderId="3" xfId="0" applyFont="1" applyFill="1" applyBorder="1"/>
    <xf numFmtId="0" fontId="3" fillId="2" borderId="26" xfId="0" applyFont="1" applyFill="1" applyBorder="1" applyAlignment="1">
      <alignment horizontal="center"/>
    </xf>
    <xf numFmtId="164" fontId="3" fillId="2" borderId="26" xfId="0" applyNumberFormat="1" applyFont="1" applyFill="1" applyBorder="1"/>
    <xf numFmtId="165" fontId="3" fillId="2" borderId="26" xfId="0" applyNumberFormat="1" applyFont="1" applyFill="1" applyBorder="1"/>
    <xf numFmtId="165" fontId="3" fillId="2" borderId="27" xfId="0" applyNumberFormat="1" applyFont="1" applyFill="1" applyBorder="1"/>
    <xf numFmtId="0" fontId="5" fillId="0" borderId="0" xfId="0" applyFont="1"/>
    <xf numFmtId="0" fontId="5" fillId="0" borderId="0" xfId="0" applyFont="1" applyAlignment="1">
      <alignment horizontal="center" wrapText="1"/>
    </xf>
    <xf numFmtId="0" fontId="8" fillId="0" borderId="0" xfId="0" applyFont="1"/>
    <xf numFmtId="165" fontId="8" fillId="0" borderId="0" xfId="0" applyNumberFormat="1" applyFont="1"/>
    <xf numFmtId="166" fontId="8" fillId="0" borderId="0" xfId="0" applyNumberFormat="1" applyFont="1"/>
    <xf numFmtId="0" fontId="1" fillId="0" borderId="10" xfId="0" applyFont="1" applyBorder="1" applyAlignment="1">
      <alignment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0" xfId="0" applyFont="1" applyBorder="1"/>
    <xf numFmtId="166" fontId="1" fillId="0" borderId="12" xfId="0" applyNumberFormat="1" applyFont="1" applyBorder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 vertical="center"/>
    </xf>
    <xf numFmtId="0" fontId="10" fillId="2" borderId="4" xfId="0" applyFont="1" applyFill="1" applyBorder="1"/>
    <xf numFmtId="165" fontId="9" fillId="2" borderId="7" xfId="0" applyNumberFormat="1" applyFont="1" applyFill="1" applyBorder="1"/>
    <xf numFmtId="165" fontId="9" fillId="2" borderId="11" xfId="0" applyNumberFormat="1" applyFont="1" applyFill="1" applyBorder="1"/>
    <xf numFmtId="0" fontId="9" fillId="0" borderId="0" xfId="0" applyFont="1" applyAlignment="1">
      <alignment vertical="center" wrapText="1"/>
    </xf>
    <xf numFmtId="0" fontId="7" fillId="3" borderId="30" xfId="0" applyFont="1" applyFill="1" applyBorder="1" applyAlignment="1">
      <alignment horizontal="left"/>
    </xf>
    <xf numFmtId="0" fontId="4" fillId="4" borderId="30" xfId="0" applyFont="1" applyFill="1" applyBorder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166" fontId="2" fillId="0" borderId="12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66" fontId="9" fillId="0" borderId="0" xfId="0" applyNumberFormat="1" applyFont="1"/>
    <xf numFmtId="0" fontId="11" fillId="3" borderId="30" xfId="0" applyFont="1" applyFill="1" applyBorder="1" applyAlignment="1">
      <alignment horizontal="left"/>
    </xf>
    <xf numFmtId="166" fontId="1" fillId="0" borderId="12" xfId="0" applyNumberFormat="1" applyFont="1" applyBorder="1" applyAlignment="1">
      <alignment horizontal="right" vertical="center"/>
    </xf>
    <xf numFmtId="166" fontId="9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 wrapText="1"/>
    </xf>
    <xf numFmtId="0" fontId="2" fillId="2" borderId="26" xfId="0" applyFont="1" applyFill="1" applyBorder="1" applyAlignment="1">
      <alignment horizontal="left" wrapText="1"/>
    </xf>
    <xf numFmtId="0" fontId="2" fillId="2" borderId="26" xfId="0" applyFont="1" applyFill="1" applyBorder="1" applyAlignment="1">
      <alignment vertical="center"/>
    </xf>
    <xf numFmtId="0" fontId="2" fillId="2" borderId="26" xfId="0" applyFont="1" applyFill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  <xf numFmtId="165" fontId="2" fillId="2" borderId="26" xfId="0" applyNumberFormat="1" applyFont="1" applyFill="1" applyBorder="1" applyAlignment="1">
      <alignment horizontal="center" vertical="center"/>
    </xf>
    <xf numFmtId="166" fontId="2" fillId="2" borderId="27" xfId="0" applyNumberFormat="1" applyFont="1" applyFill="1" applyBorder="1" applyAlignment="1">
      <alignment vertical="center"/>
    </xf>
    <xf numFmtId="166" fontId="2" fillId="2" borderId="27" xfId="0" applyNumberFormat="1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vertical="center"/>
    </xf>
    <xf numFmtId="0" fontId="10" fillId="2" borderId="26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2" borderId="26" xfId="0" applyFont="1" applyFill="1" applyBorder="1"/>
    <xf numFmtId="0" fontId="10" fillId="2" borderId="26" xfId="0" applyFont="1" applyFill="1" applyBorder="1" applyAlignment="1">
      <alignment wrapText="1"/>
    </xf>
    <xf numFmtId="0" fontId="5" fillId="2" borderId="30" xfId="0" applyFont="1" applyFill="1" applyBorder="1"/>
    <xf numFmtId="165" fontId="5" fillId="2" borderId="30" xfId="0" applyNumberFormat="1" applyFont="1" applyFill="1" applyBorder="1"/>
    <xf numFmtId="0" fontId="11" fillId="3" borderId="28" xfId="0" applyFont="1" applyFill="1" applyBorder="1" applyAlignment="1">
      <alignment horizontal="left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10" fillId="0" borderId="0" xfId="0" applyFont="1" applyAlignment="1">
      <alignment horizontal="right" wrapText="1"/>
    </xf>
    <xf numFmtId="0" fontId="5" fillId="2" borderId="31" xfId="0" applyFont="1" applyFill="1" applyBorder="1" applyAlignment="1">
      <alignment horizontal="right"/>
    </xf>
    <xf numFmtId="0" fontId="5" fillId="2" borderId="32" xfId="0" applyFont="1" applyFill="1" applyBorder="1"/>
    <xf numFmtId="165" fontId="5" fillId="2" borderId="32" xfId="0" applyNumberFormat="1" applyFont="1" applyFill="1" applyBorder="1"/>
    <xf numFmtId="0" fontId="5" fillId="2" borderId="33" xfId="0" applyFont="1" applyFill="1" applyBorder="1"/>
    <xf numFmtId="0" fontId="5" fillId="2" borderId="34" xfId="0" applyFont="1" applyFill="1" applyBorder="1" applyAlignment="1">
      <alignment horizontal="right"/>
    </xf>
    <xf numFmtId="0" fontId="5" fillId="2" borderId="35" xfId="0" applyFont="1" applyFill="1" applyBorder="1"/>
    <xf numFmtId="0" fontId="5" fillId="2" borderId="34" xfId="0" applyFont="1" applyFill="1" applyBorder="1"/>
    <xf numFmtId="0" fontId="5" fillId="2" borderId="30" xfId="0" applyFont="1" applyFill="1" applyBorder="1" applyAlignment="1">
      <alignment wrapText="1"/>
    </xf>
    <xf numFmtId="0" fontId="5" fillId="2" borderId="30" xfId="0" applyFont="1" applyFill="1" applyBorder="1" applyAlignment="1">
      <alignment horizontal="center"/>
    </xf>
    <xf numFmtId="164" fontId="5" fillId="2" borderId="30" xfId="0" applyNumberFormat="1" applyFont="1" applyFill="1" applyBorder="1"/>
    <xf numFmtId="165" fontId="3" fillId="2" borderId="35" xfId="0" applyNumberFormat="1" applyFont="1" applyFill="1" applyBorder="1"/>
    <xf numFmtId="0" fontId="5" fillId="2" borderId="36" xfId="0" applyFont="1" applyFill="1" applyBorder="1"/>
    <xf numFmtId="164" fontId="5" fillId="2" borderId="17" xfId="0" applyNumberFormat="1" applyFont="1" applyFill="1" applyBorder="1" applyAlignment="1">
      <alignment horizontal="right"/>
    </xf>
    <xf numFmtId="9" fontId="5" fillId="2" borderId="17" xfId="0" applyNumberFormat="1" applyFont="1" applyFill="1" applyBorder="1" applyAlignment="1">
      <alignment horizontal="center"/>
    </xf>
    <xf numFmtId="164" fontId="5" fillId="2" borderId="17" xfId="0" applyNumberFormat="1" applyFont="1" applyFill="1" applyBorder="1"/>
    <xf numFmtId="165" fontId="5" fillId="2" borderId="17" xfId="0" applyNumberFormat="1" applyFont="1" applyFill="1" applyBorder="1"/>
    <xf numFmtId="0" fontId="5" fillId="2" borderId="17" xfId="0" applyFont="1" applyFill="1" applyBorder="1" applyAlignment="1">
      <alignment horizontal="right" wrapText="1"/>
    </xf>
    <xf numFmtId="0" fontId="5" fillId="2" borderId="17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/>
    </xf>
    <xf numFmtId="0" fontId="3" fillId="2" borderId="37" xfId="0" applyFont="1" applyFill="1" applyBorder="1"/>
    <xf numFmtId="0" fontId="3" fillId="2" borderId="38" xfId="0" applyFont="1" applyFill="1" applyBorder="1" applyAlignment="1">
      <alignment wrapText="1"/>
    </xf>
    <xf numFmtId="0" fontId="3" fillId="2" borderId="38" xfId="0" applyFont="1" applyFill="1" applyBorder="1" applyAlignment="1">
      <alignment horizontal="center"/>
    </xf>
    <xf numFmtId="164" fontId="3" fillId="2" borderId="38" xfId="0" applyNumberFormat="1" applyFont="1" applyFill="1" applyBorder="1"/>
    <xf numFmtId="165" fontId="3" fillId="2" borderId="38" xfId="0" applyNumberFormat="1" applyFont="1" applyFill="1" applyBorder="1"/>
    <xf numFmtId="165" fontId="3" fillId="2" borderId="39" xfId="0" applyNumberFormat="1" applyFont="1" applyFill="1" applyBorder="1"/>
    <xf numFmtId="0" fontId="1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6" fontId="1" fillId="0" borderId="12" xfId="0" applyNumberFormat="1" applyFont="1" applyBorder="1" applyAlignment="1">
      <alignment vertical="center"/>
    </xf>
    <xf numFmtId="166" fontId="2" fillId="0" borderId="12" xfId="0" applyNumberFormat="1" applyFont="1" applyBorder="1" applyAlignment="1">
      <alignment horizontal="right" vertical="center"/>
    </xf>
    <xf numFmtId="0" fontId="13" fillId="0" borderId="0" xfId="0" applyFont="1"/>
    <xf numFmtId="165" fontId="2" fillId="0" borderId="30" xfId="0" applyNumberFormat="1" applyFont="1" applyBorder="1"/>
    <xf numFmtId="10" fontId="1" fillId="0" borderId="30" xfId="0" applyNumberFormat="1" applyFont="1" applyBorder="1"/>
    <xf numFmtId="165" fontId="2" fillId="2" borderId="40" xfId="0" applyNumberFormat="1" applyFont="1" applyFill="1" applyBorder="1" applyAlignment="1">
      <alignment wrapText="1"/>
    </xf>
    <xf numFmtId="10" fontId="1" fillId="2" borderId="41" xfId="0" applyNumberFormat="1" applyFont="1" applyFill="1" applyBorder="1"/>
    <xf numFmtId="4" fontId="0" fillId="0" borderId="0" xfId="0" applyNumberFormat="1" applyAlignment="1">
      <alignment vertical="top" wrapText="1"/>
    </xf>
    <xf numFmtId="0" fontId="2" fillId="0" borderId="10" xfId="0" applyFont="1" applyBorder="1"/>
    <xf numFmtId="166" fontId="1" fillId="0" borderId="12" xfId="0" applyNumberFormat="1" applyFont="1" applyBorder="1" applyAlignment="1">
      <alignment horizontal="right"/>
    </xf>
    <xf numFmtId="166" fontId="9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166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" fillId="2" borderId="5" xfId="0" applyFont="1" applyFill="1" applyBorder="1" applyAlignment="1">
      <alignment horizontal="center" wrapText="1"/>
    </xf>
    <xf numFmtId="0" fontId="4" fillId="0" borderId="19" xfId="0" applyFont="1" applyBorder="1"/>
    <xf numFmtId="0" fontId="4" fillId="0" borderId="6" xfId="0" applyFont="1" applyBorder="1"/>
    <xf numFmtId="0" fontId="11" fillId="3" borderId="28" xfId="0" applyFont="1" applyFill="1" applyBorder="1" applyAlignment="1">
      <alignment horizontal="left"/>
    </xf>
    <xf numFmtId="0" fontId="4" fillId="0" borderId="29" xfId="0" applyFont="1" applyBorder="1"/>
    <xf numFmtId="0" fontId="4" fillId="0" borderId="30" xfId="0" applyFont="1" applyBorder="1"/>
    <xf numFmtId="0" fontId="7" fillId="3" borderId="28" xfId="0" applyFont="1" applyFill="1" applyBorder="1" applyAlignment="1">
      <alignment horizontal="left"/>
    </xf>
    <xf numFmtId="165" fontId="2" fillId="2" borderId="5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 vertical="center" wrapText="1"/>
    </xf>
    <xf numFmtId="0" fontId="4" fillId="0" borderId="20" xfId="0" applyFont="1" applyBorder="1"/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249"/>
  <sheetViews>
    <sheetView tabSelected="1" topLeftCell="A428" zoomScale="75" zoomScaleNormal="70" workbookViewId="0">
      <selection activeCell="D82" sqref="D82"/>
    </sheetView>
  </sheetViews>
  <sheetFormatPr defaultColWidth="12.7109375" defaultRowHeight="15" customHeight="1" x14ac:dyDescent="0.2"/>
  <cols>
    <col min="1" max="1" width="1.7109375" customWidth="1"/>
    <col min="2" max="2" width="30.28515625" customWidth="1"/>
    <col min="3" max="3" width="62.85546875" customWidth="1"/>
    <col min="4" max="4" width="9.28515625" customWidth="1"/>
    <col min="5" max="5" width="12.42578125" bestFit="1" customWidth="1"/>
    <col min="6" max="6" width="22.28515625" customWidth="1"/>
    <col min="7" max="7" width="15.42578125" customWidth="1"/>
    <col min="8" max="8" width="33.85546875" customWidth="1"/>
    <col min="9" max="9" width="22.85546875" customWidth="1"/>
    <col min="10" max="10" width="47.140625" customWidth="1"/>
    <col min="11" max="11" width="29.140625" customWidth="1"/>
  </cols>
  <sheetData>
    <row r="1" spans="1:24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1"/>
      <c r="B2" s="5" t="s">
        <v>0</v>
      </c>
      <c r="C2" s="110" t="s">
        <v>135</v>
      </c>
      <c r="D2" s="6"/>
      <c r="E2" s="7"/>
      <c r="F2" s="197" t="s">
        <v>1</v>
      </c>
      <c r="G2" s="192"/>
      <c r="H2" s="111" t="s">
        <v>159</v>
      </c>
      <c r="I2" s="8"/>
      <c r="J2" s="9"/>
      <c r="K2" s="1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1"/>
      <c r="B3" s="11"/>
      <c r="C3" s="12"/>
      <c r="D3" s="6"/>
      <c r="E3" s="7"/>
      <c r="F3" s="13"/>
      <c r="G3" s="14"/>
      <c r="H3" s="15"/>
      <c r="I3" s="15"/>
      <c r="J3" s="16"/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1"/>
      <c r="B4" s="11"/>
      <c r="C4" s="17"/>
      <c r="D4" s="6"/>
      <c r="E4" s="7"/>
      <c r="F4" s="197" t="s">
        <v>2</v>
      </c>
      <c r="G4" s="192"/>
      <c r="H4" s="15" t="s">
        <v>406</v>
      </c>
      <c r="I4" s="15"/>
      <c r="J4" s="16"/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1"/>
      <c r="B5" s="11"/>
      <c r="C5" s="17"/>
      <c r="D5" s="6"/>
      <c r="E5" s="7"/>
      <c r="F5" s="13"/>
      <c r="G5" s="14"/>
      <c r="H5" s="15"/>
      <c r="I5" s="15"/>
      <c r="J5" s="16"/>
      <c r="K5" s="1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25">
      <c r="A6" s="1"/>
      <c r="B6" s="11"/>
      <c r="C6" s="12"/>
      <c r="D6" s="6"/>
      <c r="E6" s="7"/>
      <c r="F6" s="197" t="s">
        <v>39</v>
      </c>
      <c r="G6" s="192"/>
      <c r="H6" s="112" t="s">
        <v>160</v>
      </c>
      <c r="I6" s="15"/>
      <c r="J6" s="16"/>
      <c r="K6" s="1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25">
      <c r="A7" s="1"/>
      <c r="B7" s="18"/>
      <c r="C7" s="17"/>
      <c r="D7" s="6"/>
      <c r="E7" s="7"/>
      <c r="F7" s="19"/>
      <c r="G7" s="20"/>
      <c r="H7" s="20"/>
      <c r="I7" s="21"/>
      <c r="J7" s="22"/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 x14ac:dyDescent="0.25">
      <c r="A8" s="1"/>
      <c r="B8" s="11"/>
      <c r="C8" s="12"/>
      <c r="D8" s="6"/>
      <c r="E8" s="7"/>
      <c r="F8" s="23"/>
      <c r="G8" s="23"/>
      <c r="H8" s="24"/>
      <c r="I8" s="25"/>
      <c r="J8" s="26"/>
      <c r="K8" s="10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27"/>
      <c r="B9" s="28"/>
      <c r="C9" s="29"/>
      <c r="D9" s="30"/>
      <c r="E9" s="31"/>
      <c r="F9" s="198" t="s">
        <v>3</v>
      </c>
      <c r="G9" s="191"/>
      <c r="H9" s="191"/>
      <c r="I9" s="199"/>
      <c r="J9" s="32">
        <f>+F488</f>
        <v>1466984.71231235</v>
      </c>
      <c r="K9" s="3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 thickBot="1" x14ac:dyDescent="0.25">
      <c r="A10" s="34"/>
      <c r="B10" s="35"/>
      <c r="C10" s="36"/>
      <c r="D10" s="37"/>
      <c r="E10" s="38"/>
      <c r="F10" s="39"/>
      <c r="G10" s="39"/>
      <c r="H10" s="40"/>
      <c r="I10" s="40"/>
      <c r="J10" s="41"/>
      <c r="K10" s="4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 thickBot="1" x14ac:dyDescent="0.3">
      <c r="A11" s="1"/>
      <c r="B11" s="43" t="s">
        <v>4</v>
      </c>
      <c r="C11" s="44"/>
      <c r="D11" s="45" t="s">
        <v>5</v>
      </c>
      <c r="E11" s="7"/>
      <c r="F11" s="46" t="s">
        <v>6</v>
      </c>
      <c r="G11" s="47">
        <v>95</v>
      </c>
      <c r="H11" s="25"/>
      <c r="I11" s="181" t="s">
        <v>84</v>
      </c>
      <c r="J11" s="182">
        <v>0.33</v>
      </c>
      <c r="K11" s="1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thickBot="1" x14ac:dyDescent="0.3">
      <c r="A12" s="48"/>
      <c r="B12" s="11"/>
      <c r="C12" s="49"/>
      <c r="D12" s="50"/>
      <c r="E12" s="7"/>
      <c r="F12" s="23"/>
      <c r="G12" s="23"/>
      <c r="H12" s="25"/>
      <c r="I12" s="179"/>
      <c r="J12" s="180"/>
      <c r="K12" s="1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thickBot="1" x14ac:dyDescent="0.3">
      <c r="A13" s="1"/>
      <c r="B13" s="51" t="s">
        <v>8</v>
      </c>
      <c r="C13" s="52">
        <v>225</v>
      </c>
      <c r="D13" s="45" t="s">
        <v>5</v>
      </c>
      <c r="E13" s="7"/>
      <c r="F13" s="46" t="s">
        <v>9</v>
      </c>
      <c r="G13" s="47">
        <v>90</v>
      </c>
      <c r="H13" s="23"/>
      <c r="I13" s="25"/>
      <c r="J13" s="26"/>
      <c r="K13" s="1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25">
      <c r="A14" s="1"/>
      <c r="B14" s="18"/>
      <c r="C14" s="53"/>
      <c r="D14" s="6"/>
      <c r="E14" s="7"/>
      <c r="F14" s="25"/>
      <c r="G14" s="25"/>
      <c r="H14" s="25"/>
      <c r="I14" s="25"/>
      <c r="J14" s="26"/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25">
      <c r="A15" s="1"/>
      <c r="B15" s="5" t="s">
        <v>10</v>
      </c>
      <c r="C15" s="54">
        <f>+J9/C13</f>
        <v>6519.9320547215557</v>
      </c>
      <c r="D15" s="55" t="s">
        <v>11</v>
      </c>
      <c r="E15" s="7"/>
      <c r="F15" s="46" t="s">
        <v>12</v>
      </c>
      <c r="G15" s="47" t="s">
        <v>162</v>
      </c>
      <c r="H15" s="25"/>
      <c r="I15" s="25"/>
      <c r="J15" s="123"/>
      <c r="K15" s="1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thickBot="1" x14ac:dyDescent="0.25">
      <c r="A16" s="27"/>
      <c r="B16" s="56"/>
      <c r="C16" s="57"/>
      <c r="D16" s="58"/>
      <c r="E16" s="59"/>
      <c r="F16" s="60"/>
      <c r="G16" s="60"/>
      <c r="H16" s="60"/>
      <c r="I16" s="60"/>
      <c r="J16" s="56"/>
      <c r="K16" s="61"/>
      <c r="L16" s="6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thickBot="1" x14ac:dyDescent="0.3">
      <c r="A17" s="5"/>
      <c r="B17" s="63" t="s">
        <v>13</v>
      </c>
      <c r="C17" s="128" t="s">
        <v>14</v>
      </c>
      <c r="D17" s="64" t="s">
        <v>15</v>
      </c>
      <c r="E17" s="65" t="s">
        <v>16</v>
      </c>
      <c r="F17" s="66" t="s">
        <v>17</v>
      </c>
      <c r="G17" s="66" t="s">
        <v>18</v>
      </c>
      <c r="H17" s="66" t="s">
        <v>7</v>
      </c>
      <c r="I17" s="66" t="s">
        <v>19</v>
      </c>
      <c r="J17" s="67" t="s">
        <v>20</v>
      </c>
      <c r="K17" s="68">
        <f>SUM(I18:I35)</f>
        <v>160411.30000000002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25">
      <c r="A18" s="48"/>
      <c r="B18" s="18"/>
      <c r="C18" s="69"/>
      <c r="D18" s="70"/>
      <c r="E18" s="71"/>
      <c r="F18" s="72"/>
      <c r="G18" s="73"/>
      <c r="H18" s="73"/>
      <c r="I18" s="73"/>
      <c r="J18" s="74"/>
      <c r="K18" s="7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25">
      <c r="A19" s="48"/>
      <c r="B19" s="18" t="s">
        <v>21</v>
      </c>
      <c r="C19" s="53" t="s">
        <v>161</v>
      </c>
      <c r="D19" s="6" t="s">
        <v>22</v>
      </c>
      <c r="E19" s="7">
        <v>1</v>
      </c>
      <c r="F19" s="25">
        <v>14650</v>
      </c>
      <c r="G19" s="76">
        <f t="shared" ref="G19" si="0">E19*F19</f>
        <v>14650</v>
      </c>
      <c r="H19" s="76">
        <f>G19*J11</f>
        <v>4834.5</v>
      </c>
      <c r="I19" s="76">
        <f t="shared" ref="I19" si="1">G19+H19</f>
        <v>19484.5</v>
      </c>
      <c r="J19" s="26"/>
      <c r="K19" s="7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25">
      <c r="A20" s="184"/>
      <c r="B20" s="18"/>
      <c r="C20" s="53" t="s">
        <v>103</v>
      </c>
      <c r="D20" s="6" t="s">
        <v>22</v>
      </c>
      <c r="E20" s="7">
        <v>1</v>
      </c>
      <c r="F20" s="25">
        <v>2880</v>
      </c>
      <c r="G20" s="76">
        <f t="shared" ref="G20:G34" si="2">E20*F20</f>
        <v>2880</v>
      </c>
      <c r="H20" s="76">
        <f>G20*J11</f>
        <v>950.40000000000009</v>
      </c>
      <c r="I20" s="76">
        <f t="shared" ref="I20:I34" si="3">G20+H20</f>
        <v>3830.4</v>
      </c>
      <c r="J20" s="26"/>
      <c r="K20" s="18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25">
      <c r="A21" s="184"/>
      <c r="B21" s="18"/>
      <c r="C21" s="53" t="s">
        <v>104</v>
      </c>
      <c r="D21" s="6" t="s">
        <v>22</v>
      </c>
      <c r="E21" s="7">
        <v>1</v>
      </c>
      <c r="F21" s="25">
        <v>250</v>
      </c>
      <c r="G21" s="76">
        <f t="shared" si="2"/>
        <v>250</v>
      </c>
      <c r="H21" s="76">
        <f>G21*J11</f>
        <v>82.5</v>
      </c>
      <c r="I21" s="76">
        <f t="shared" si="3"/>
        <v>332.5</v>
      </c>
      <c r="J21" s="26"/>
      <c r="K21" s="18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25">
      <c r="A22" s="184"/>
      <c r="B22" s="18"/>
      <c r="C22" s="53" t="s">
        <v>105</v>
      </c>
      <c r="D22" s="6" t="s">
        <v>22</v>
      </c>
      <c r="E22" s="7">
        <v>1</v>
      </c>
      <c r="F22" s="25">
        <v>2500</v>
      </c>
      <c r="G22" s="76">
        <f t="shared" si="2"/>
        <v>2500</v>
      </c>
      <c r="H22" s="76">
        <f>G22*J11</f>
        <v>825</v>
      </c>
      <c r="I22" s="76">
        <f t="shared" si="3"/>
        <v>3325</v>
      </c>
      <c r="J22" s="26"/>
      <c r="K22" s="18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25">
      <c r="A23" s="184"/>
      <c r="B23" s="18"/>
      <c r="C23" s="53" t="s">
        <v>106</v>
      </c>
      <c r="D23" s="6" t="s">
        <v>22</v>
      </c>
      <c r="E23" s="7">
        <v>1</v>
      </c>
      <c r="F23" s="25">
        <v>300</v>
      </c>
      <c r="G23" s="76">
        <f t="shared" si="2"/>
        <v>300</v>
      </c>
      <c r="H23" s="76">
        <f>G23*J11</f>
        <v>99</v>
      </c>
      <c r="I23" s="76">
        <f t="shared" si="3"/>
        <v>399</v>
      </c>
      <c r="J23" s="26"/>
      <c r="K23" s="18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5">
      <c r="A24" s="184"/>
      <c r="B24" s="18"/>
      <c r="C24" s="53" t="s">
        <v>107</v>
      </c>
      <c r="D24" s="6" t="s">
        <v>22</v>
      </c>
      <c r="E24" s="7">
        <v>1</v>
      </c>
      <c r="F24" s="25">
        <v>2280</v>
      </c>
      <c r="G24" s="76">
        <f t="shared" si="2"/>
        <v>2280</v>
      </c>
      <c r="H24" s="76">
        <f>G24*J11</f>
        <v>752.40000000000009</v>
      </c>
      <c r="I24" s="76">
        <f t="shared" si="3"/>
        <v>3032.4</v>
      </c>
      <c r="J24" s="26"/>
      <c r="K24" s="18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5">
      <c r="A25" s="184"/>
      <c r="B25" s="18"/>
      <c r="C25" s="53" t="s">
        <v>108</v>
      </c>
      <c r="D25" s="6" t="s">
        <v>22</v>
      </c>
      <c r="E25" s="7">
        <v>1</v>
      </c>
      <c r="F25" s="25">
        <v>3000</v>
      </c>
      <c r="G25" s="76">
        <f t="shared" si="2"/>
        <v>3000</v>
      </c>
      <c r="H25" s="76">
        <f>G25*J11</f>
        <v>990</v>
      </c>
      <c r="I25" s="76">
        <f t="shared" si="3"/>
        <v>3990</v>
      </c>
      <c r="J25" s="26"/>
      <c r="K25" s="18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57" x14ac:dyDescent="0.25">
      <c r="A26" s="184"/>
      <c r="B26" s="187"/>
      <c r="C26" s="117" t="s">
        <v>109</v>
      </c>
      <c r="D26" s="83" t="s">
        <v>22</v>
      </c>
      <c r="E26" s="116">
        <v>1</v>
      </c>
      <c r="F26" s="81">
        <v>50400</v>
      </c>
      <c r="G26" s="82">
        <f t="shared" si="2"/>
        <v>50400</v>
      </c>
      <c r="H26" s="82">
        <f>G26*J11</f>
        <v>16632</v>
      </c>
      <c r="I26" s="82">
        <f t="shared" si="3"/>
        <v>67032</v>
      </c>
      <c r="J26" s="188" t="s">
        <v>163</v>
      </c>
      <c r="K26" s="18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5">
      <c r="A27" s="184"/>
      <c r="B27" s="18"/>
      <c r="C27" s="53" t="s">
        <v>110</v>
      </c>
      <c r="D27" s="6" t="s">
        <v>22</v>
      </c>
      <c r="E27" s="7">
        <v>1</v>
      </c>
      <c r="F27" s="25">
        <v>300</v>
      </c>
      <c r="G27" s="76">
        <f t="shared" si="2"/>
        <v>300</v>
      </c>
      <c r="H27" s="76">
        <f>G27*J11</f>
        <v>99</v>
      </c>
      <c r="I27" s="76">
        <f t="shared" si="3"/>
        <v>399</v>
      </c>
      <c r="J27" s="26"/>
      <c r="K27" s="18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184"/>
      <c r="B28" s="18"/>
      <c r="C28" s="53" t="s">
        <v>111</v>
      </c>
      <c r="D28" s="6" t="s">
        <v>22</v>
      </c>
      <c r="E28" s="7">
        <v>1</v>
      </c>
      <c r="F28" s="25">
        <v>2000</v>
      </c>
      <c r="G28" s="76">
        <f t="shared" si="2"/>
        <v>2000</v>
      </c>
      <c r="H28" s="76">
        <f>G28*J11</f>
        <v>660</v>
      </c>
      <c r="I28" s="76">
        <f t="shared" si="3"/>
        <v>2660</v>
      </c>
      <c r="J28" s="26"/>
      <c r="K28" s="18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184"/>
      <c r="B29" s="18"/>
      <c r="C29" s="53" t="s">
        <v>164</v>
      </c>
      <c r="D29" s="6" t="s">
        <v>22</v>
      </c>
      <c r="E29" s="7">
        <v>1</v>
      </c>
      <c r="F29" s="25">
        <v>5180</v>
      </c>
      <c r="G29" s="76">
        <f t="shared" si="2"/>
        <v>5180</v>
      </c>
      <c r="H29" s="76">
        <f>G29*J11</f>
        <v>1709.4</v>
      </c>
      <c r="I29" s="76">
        <f t="shared" si="3"/>
        <v>6889.4</v>
      </c>
      <c r="J29" s="26"/>
      <c r="K29" s="18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184"/>
      <c r="B30" s="18"/>
      <c r="C30" s="53" t="s">
        <v>112</v>
      </c>
      <c r="D30" s="6" t="s">
        <v>22</v>
      </c>
      <c r="E30" s="7">
        <v>1</v>
      </c>
      <c r="F30" s="25">
        <v>7200</v>
      </c>
      <c r="G30" s="76">
        <f t="shared" si="2"/>
        <v>7200</v>
      </c>
      <c r="H30" s="76">
        <f>G30*J11</f>
        <v>2376</v>
      </c>
      <c r="I30" s="76">
        <f t="shared" si="3"/>
        <v>9576</v>
      </c>
      <c r="J30" s="26"/>
      <c r="K30" s="18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5">
      <c r="A31" s="184"/>
      <c r="B31" s="18"/>
      <c r="C31" s="53" t="s">
        <v>113</v>
      </c>
      <c r="D31" s="6" t="s">
        <v>22</v>
      </c>
      <c r="E31" s="7">
        <v>1</v>
      </c>
      <c r="F31" s="25">
        <v>25000</v>
      </c>
      <c r="G31" s="76">
        <f t="shared" si="2"/>
        <v>25000</v>
      </c>
      <c r="H31" s="76">
        <f>G31*J11</f>
        <v>8250</v>
      </c>
      <c r="I31" s="76">
        <f t="shared" si="3"/>
        <v>33250</v>
      </c>
      <c r="J31" s="26"/>
      <c r="K31" s="18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5">
      <c r="A32" s="184"/>
      <c r="B32" s="18"/>
      <c r="C32" s="53" t="s">
        <v>114</v>
      </c>
      <c r="D32" s="6" t="s">
        <v>22</v>
      </c>
      <c r="E32" s="7">
        <v>1</v>
      </c>
      <c r="F32" s="25">
        <v>500</v>
      </c>
      <c r="G32" s="76">
        <f t="shared" si="2"/>
        <v>500</v>
      </c>
      <c r="H32" s="76">
        <f>G32*J11</f>
        <v>165</v>
      </c>
      <c r="I32" s="76">
        <f t="shared" si="3"/>
        <v>665</v>
      </c>
      <c r="J32" s="26"/>
      <c r="K32" s="18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5">
      <c r="A33" s="184"/>
      <c r="B33" s="18"/>
      <c r="C33" s="53" t="s">
        <v>407</v>
      </c>
      <c r="D33" s="6" t="s">
        <v>22</v>
      </c>
      <c r="E33" s="7">
        <v>1</v>
      </c>
      <c r="F33" s="25">
        <v>2090</v>
      </c>
      <c r="G33" s="76">
        <f t="shared" si="2"/>
        <v>2090</v>
      </c>
      <c r="H33" s="76">
        <f>G33*J11</f>
        <v>689.7</v>
      </c>
      <c r="I33" s="76">
        <f>H33+G33</f>
        <v>2779.7</v>
      </c>
      <c r="J33" s="26"/>
      <c r="K33" s="18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5">
      <c r="A34" s="184"/>
      <c r="B34" s="18"/>
      <c r="C34" s="53" t="s">
        <v>115</v>
      </c>
      <c r="D34" s="6" t="s">
        <v>22</v>
      </c>
      <c r="E34" s="7">
        <v>1</v>
      </c>
      <c r="F34" s="25">
        <v>2080</v>
      </c>
      <c r="G34" s="76">
        <f t="shared" si="2"/>
        <v>2080</v>
      </c>
      <c r="H34" s="76">
        <f>G34*J11</f>
        <v>686.4</v>
      </c>
      <c r="I34" s="76">
        <f t="shared" si="3"/>
        <v>2766.4</v>
      </c>
      <c r="J34" s="26"/>
      <c r="K34" s="18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thickBot="1" x14ac:dyDescent="0.3">
      <c r="A35" s="48"/>
      <c r="B35" s="18"/>
      <c r="C35" s="69"/>
      <c r="D35" s="70"/>
      <c r="E35" s="71"/>
      <c r="F35" s="72"/>
      <c r="G35" s="73"/>
      <c r="H35" s="73"/>
      <c r="I35" s="73"/>
      <c r="J35" s="74"/>
      <c r="K35" s="7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6.350000000000001" customHeight="1" thickBot="1" x14ac:dyDescent="0.3">
      <c r="A36" s="1"/>
      <c r="B36" s="5" t="s">
        <v>24</v>
      </c>
      <c r="C36" s="52" t="s">
        <v>93</v>
      </c>
      <c r="D36" s="64" t="s">
        <v>15</v>
      </c>
      <c r="E36" s="65" t="s">
        <v>16</v>
      </c>
      <c r="F36" s="66" t="s">
        <v>17</v>
      </c>
      <c r="G36" s="66" t="s">
        <v>18</v>
      </c>
      <c r="H36" s="66" t="s">
        <v>7</v>
      </c>
      <c r="I36" s="66" t="s">
        <v>19</v>
      </c>
      <c r="J36" s="67" t="s">
        <v>20</v>
      </c>
      <c r="K36" s="79">
        <f>SUM(I37:I39)</f>
        <v>10640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">
      <c r="A37" s="1"/>
      <c r="B37" s="11"/>
      <c r="C37" s="53"/>
      <c r="D37" s="6"/>
      <c r="E37" s="7"/>
      <c r="F37" s="25"/>
      <c r="G37" s="25"/>
      <c r="H37" s="76"/>
      <c r="I37" s="25"/>
      <c r="J37" s="26"/>
      <c r="K37" s="10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s="174" customFormat="1" ht="28.5" x14ac:dyDescent="0.2">
      <c r="A38" s="172"/>
      <c r="B38" s="175"/>
      <c r="C38" s="113" t="s">
        <v>165</v>
      </c>
      <c r="D38" s="83" t="s">
        <v>22</v>
      </c>
      <c r="E38" s="119">
        <v>1</v>
      </c>
      <c r="F38" s="120">
        <v>8000</v>
      </c>
      <c r="G38" s="81">
        <f t="shared" ref="G38" si="4">F38*E38</f>
        <v>8000</v>
      </c>
      <c r="H38" s="82">
        <f t="shared" ref="H38" si="5">+G38*$J$11</f>
        <v>2640</v>
      </c>
      <c r="I38" s="81">
        <f t="shared" ref="I38" si="6">G38+H38</f>
        <v>10640</v>
      </c>
      <c r="J38" s="121"/>
      <c r="K38" s="176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</row>
    <row r="39" spans="1:24" s="174" customFormat="1" thickBot="1" x14ac:dyDescent="0.25">
      <c r="A39" s="172"/>
      <c r="B39" s="175"/>
      <c r="C39" s="117"/>
      <c r="D39" s="83"/>
      <c r="E39" s="119"/>
      <c r="F39" s="120"/>
      <c r="G39" s="81"/>
      <c r="H39" s="82"/>
      <c r="I39" s="81"/>
      <c r="J39" s="121"/>
      <c r="K39" s="176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</row>
    <row r="40" spans="1:24" ht="17.45" customHeight="1" thickBot="1" x14ac:dyDescent="0.25">
      <c r="A40" s="78"/>
      <c r="B40" s="129" t="s">
        <v>26</v>
      </c>
      <c r="C40" s="136" t="s">
        <v>166</v>
      </c>
      <c r="D40" s="130" t="s">
        <v>15</v>
      </c>
      <c r="E40" s="131" t="s">
        <v>16</v>
      </c>
      <c r="F40" s="132" t="s">
        <v>17</v>
      </c>
      <c r="G40" s="132" t="s">
        <v>18</v>
      </c>
      <c r="H40" s="132" t="s">
        <v>7</v>
      </c>
      <c r="I40" s="132" t="s">
        <v>19</v>
      </c>
      <c r="J40" s="133" t="s">
        <v>20</v>
      </c>
      <c r="K40" s="134">
        <f>SUM(I41:I81)</f>
        <v>46554.358409999993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 x14ac:dyDescent="0.2">
      <c r="A41" s="105"/>
      <c r="B41" s="11"/>
      <c r="C41" s="53"/>
      <c r="D41" s="6"/>
      <c r="E41" s="84"/>
      <c r="F41" s="85"/>
      <c r="G41" s="25"/>
      <c r="H41" s="76"/>
      <c r="I41" s="25"/>
      <c r="J41" s="26"/>
      <c r="K41" s="10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s="174" customFormat="1" x14ac:dyDescent="0.2">
      <c r="A42" s="172"/>
      <c r="B42" s="109" t="s">
        <v>167</v>
      </c>
      <c r="C42" s="113"/>
      <c r="D42" s="83"/>
      <c r="E42" s="119"/>
      <c r="F42" s="120"/>
      <c r="G42" s="81"/>
      <c r="H42" s="82"/>
      <c r="I42" s="81"/>
      <c r="J42" s="121"/>
      <c r="K42" s="176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</row>
    <row r="43" spans="1:24" s="174" customFormat="1" ht="14.25" x14ac:dyDescent="0.2">
      <c r="A43" s="172"/>
      <c r="B43" s="86" t="s">
        <v>136</v>
      </c>
      <c r="C43" s="113" t="s">
        <v>168</v>
      </c>
      <c r="D43" s="137" t="s">
        <v>76</v>
      </c>
      <c r="E43" s="119">
        <v>0.1</v>
      </c>
      <c r="F43" s="120">
        <v>1900</v>
      </c>
      <c r="G43" s="81">
        <f t="shared" ref="G43:G60" si="7">F43*E43</f>
        <v>190</v>
      </c>
      <c r="H43" s="82">
        <f t="shared" ref="H43:H60" si="8">+G43*$J$11</f>
        <v>62.7</v>
      </c>
      <c r="I43" s="81">
        <f t="shared" ref="I43:I60" si="9">G43+H43</f>
        <v>252.7</v>
      </c>
      <c r="J43" s="121"/>
      <c r="K43" s="176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</row>
    <row r="44" spans="1:24" s="174" customFormat="1" ht="14.25" x14ac:dyDescent="0.2">
      <c r="A44" s="172"/>
      <c r="B44" s="86"/>
      <c r="C44" s="113" t="s">
        <v>169</v>
      </c>
      <c r="D44" s="137" t="s">
        <v>76</v>
      </c>
      <c r="E44" s="119">
        <v>0.1</v>
      </c>
      <c r="F44" s="120">
        <v>1900</v>
      </c>
      <c r="G44" s="81">
        <f t="shared" si="7"/>
        <v>190</v>
      </c>
      <c r="H44" s="82">
        <f t="shared" si="8"/>
        <v>62.7</v>
      </c>
      <c r="I44" s="81">
        <f t="shared" si="9"/>
        <v>252.7</v>
      </c>
      <c r="J44" s="121"/>
      <c r="K44" s="176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</row>
    <row r="45" spans="1:24" s="174" customFormat="1" ht="28.5" x14ac:dyDescent="0.2">
      <c r="A45" s="172"/>
      <c r="B45" s="86"/>
      <c r="C45" s="113" t="s">
        <v>170</v>
      </c>
      <c r="D45" s="137" t="s">
        <v>25</v>
      </c>
      <c r="E45" s="119">
        <v>7</v>
      </c>
      <c r="F45" s="120">
        <v>35</v>
      </c>
      <c r="G45" s="81">
        <f t="shared" si="7"/>
        <v>245</v>
      </c>
      <c r="H45" s="82">
        <f t="shared" si="8"/>
        <v>80.850000000000009</v>
      </c>
      <c r="I45" s="81">
        <f t="shared" si="9"/>
        <v>325.85000000000002</v>
      </c>
      <c r="J45" s="121"/>
      <c r="K45" s="176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</row>
    <row r="46" spans="1:24" s="174" customFormat="1" ht="14.25" x14ac:dyDescent="0.2">
      <c r="A46" s="172"/>
      <c r="B46" s="86"/>
      <c r="C46" s="113" t="s">
        <v>171</v>
      </c>
      <c r="D46" s="137" t="s">
        <v>25</v>
      </c>
      <c r="E46" s="119">
        <v>20</v>
      </c>
      <c r="F46" s="120">
        <v>5</v>
      </c>
      <c r="G46" s="81">
        <f t="shared" si="7"/>
        <v>100</v>
      </c>
      <c r="H46" s="82">
        <f t="shared" si="8"/>
        <v>33</v>
      </c>
      <c r="I46" s="81">
        <f t="shared" si="9"/>
        <v>133</v>
      </c>
      <c r="J46" s="121"/>
      <c r="K46" s="176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</row>
    <row r="47" spans="1:24" s="174" customFormat="1" ht="28.5" x14ac:dyDescent="0.2">
      <c r="A47" s="172"/>
      <c r="B47" s="86"/>
      <c r="C47" s="113" t="s">
        <v>172</v>
      </c>
      <c r="D47" s="137" t="s">
        <v>76</v>
      </c>
      <c r="E47" s="119">
        <v>0.1</v>
      </c>
      <c r="F47" s="120">
        <v>1900</v>
      </c>
      <c r="G47" s="81">
        <f t="shared" si="7"/>
        <v>190</v>
      </c>
      <c r="H47" s="82">
        <f t="shared" si="8"/>
        <v>62.7</v>
      </c>
      <c r="I47" s="81">
        <f t="shared" si="9"/>
        <v>252.7</v>
      </c>
      <c r="J47" s="121"/>
      <c r="K47" s="176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</row>
    <row r="48" spans="1:24" s="174" customFormat="1" ht="14.25" x14ac:dyDescent="0.2">
      <c r="A48" s="172"/>
      <c r="B48" s="86"/>
      <c r="C48" s="113" t="s">
        <v>173</v>
      </c>
      <c r="D48" s="137" t="s">
        <v>25</v>
      </c>
      <c r="E48" s="119">
        <v>6</v>
      </c>
      <c r="F48" s="120">
        <v>80</v>
      </c>
      <c r="G48" s="81">
        <f t="shared" si="7"/>
        <v>480</v>
      </c>
      <c r="H48" s="82">
        <f t="shared" si="8"/>
        <v>158.4</v>
      </c>
      <c r="I48" s="81">
        <f t="shared" si="9"/>
        <v>638.4</v>
      </c>
      <c r="J48" s="121"/>
      <c r="K48" s="176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</row>
    <row r="49" spans="1:24" s="174" customFormat="1" ht="14.25" x14ac:dyDescent="0.2">
      <c r="A49" s="172"/>
      <c r="B49" s="86"/>
      <c r="C49" s="113" t="s">
        <v>137</v>
      </c>
      <c r="D49" s="137" t="s">
        <v>22</v>
      </c>
      <c r="E49" s="119">
        <v>1</v>
      </c>
      <c r="F49" s="120">
        <v>250</v>
      </c>
      <c r="G49" s="81">
        <f t="shared" si="7"/>
        <v>250</v>
      </c>
      <c r="H49" s="82">
        <f t="shared" si="8"/>
        <v>82.5</v>
      </c>
      <c r="I49" s="81">
        <f t="shared" si="9"/>
        <v>332.5</v>
      </c>
      <c r="J49" s="121"/>
      <c r="K49" s="176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</row>
    <row r="50" spans="1:24" s="174" customFormat="1" ht="14.25" x14ac:dyDescent="0.2">
      <c r="A50" s="172"/>
      <c r="B50" s="86"/>
      <c r="C50" s="113" t="s">
        <v>65</v>
      </c>
      <c r="D50" s="137" t="s">
        <v>25</v>
      </c>
      <c r="E50" s="119">
        <v>1</v>
      </c>
      <c r="F50" s="120">
        <v>150</v>
      </c>
      <c r="G50" s="81">
        <f t="shared" si="7"/>
        <v>150</v>
      </c>
      <c r="H50" s="82">
        <f t="shared" si="8"/>
        <v>49.5</v>
      </c>
      <c r="I50" s="81">
        <f t="shared" si="9"/>
        <v>199.5</v>
      </c>
      <c r="J50" s="121"/>
      <c r="K50" s="176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</row>
    <row r="51" spans="1:24" s="174" customFormat="1" ht="28.5" x14ac:dyDescent="0.2">
      <c r="A51" s="172"/>
      <c r="B51" s="86" t="s">
        <v>117</v>
      </c>
      <c r="C51" s="113" t="s">
        <v>174</v>
      </c>
      <c r="D51" s="137" t="s">
        <v>27</v>
      </c>
      <c r="E51" s="119">
        <v>16</v>
      </c>
      <c r="F51" s="120">
        <v>90</v>
      </c>
      <c r="G51" s="81">
        <f t="shared" si="7"/>
        <v>1440</v>
      </c>
      <c r="H51" s="82">
        <f t="shared" si="8"/>
        <v>475.20000000000005</v>
      </c>
      <c r="I51" s="81">
        <f t="shared" si="9"/>
        <v>1915.2</v>
      </c>
      <c r="J51" s="121"/>
      <c r="K51" s="176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</row>
    <row r="52" spans="1:24" s="174" customFormat="1" ht="28.5" x14ac:dyDescent="0.2">
      <c r="A52" s="172"/>
      <c r="B52" s="189" t="s">
        <v>118</v>
      </c>
      <c r="C52" s="113" t="s">
        <v>175</v>
      </c>
      <c r="D52" s="137" t="s">
        <v>53</v>
      </c>
      <c r="E52" s="119">
        <v>1</v>
      </c>
      <c r="F52" s="120">
        <v>282</v>
      </c>
      <c r="G52" s="81">
        <f t="shared" si="7"/>
        <v>282</v>
      </c>
      <c r="H52" s="82">
        <f t="shared" si="8"/>
        <v>93.06</v>
      </c>
      <c r="I52" s="81">
        <f t="shared" si="9"/>
        <v>375.06</v>
      </c>
      <c r="J52" s="126" t="s">
        <v>199</v>
      </c>
      <c r="K52" s="176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</row>
    <row r="53" spans="1:24" s="174" customFormat="1" ht="14.25" x14ac:dyDescent="0.2">
      <c r="A53" s="172"/>
      <c r="B53" s="86"/>
      <c r="C53" s="113" t="s">
        <v>176</v>
      </c>
      <c r="D53" s="137" t="s">
        <v>53</v>
      </c>
      <c r="E53" s="119">
        <v>4.5</v>
      </c>
      <c r="F53" s="120">
        <v>282</v>
      </c>
      <c r="G53" s="81">
        <f t="shared" si="7"/>
        <v>1269</v>
      </c>
      <c r="H53" s="82">
        <f t="shared" si="8"/>
        <v>418.77000000000004</v>
      </c>
      <c r="I53" s="81">
        <f t="shared" si="9"/>
        <v>1687.77</v>
      </c>
      <c r="J53" s="126" t="s">
        <v>199</v>
      </c>
      <c r="K53" s="176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</row>
    <row r="54" spans="1:24" s="174" customFormat="1" ht="14.25" x14ac:dyDescent="0.2">
      <c r="A54" s="172"/>
      <c r="B54" s="86"/>
      <c r="C54" s="113" t="s">
        <v>177</v>
      </c>
      <c r="D54" s="137" t="s">
        <v>53</v>
      </c>
      <c r="E54" s="119">
        <v>1.5</v>
      </c>
      <c r="F54" s="120">
        <v>282</v>
      </c>
      <c r="G54" s="81">
        <f t="shared" si="7"/>
        <v>423</v>
      </c>
      <c r="H54" s="82">
        <f t="shared" si="8"/>
        <v>139.59</v>
      </c>
      <c r="I54" s="81">
        <f t="shared" si="9"/>
        <v>562.59</v>
      </c>
      <c r="J54" s="126" t="s">
        <v>199</v>
      </c>
      <c r="K54" s="176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</row>
    <row r="55" spans="1:24" s="174" customFormat="1" ht="14.25" x14ac:dyDescent="0.2">
      <c r="A55" s="172"/>
      <c r="B55" s="86"/>
      <c r="C55" s="113" t="s">
        <v>178</v>
      </c>
      <c r="D55" s="137" t="s">
        <v>53</v>
      </c>
      <c r="E55" s="119">
        <v>2.9</v>
      </c>
      <c r="F55" s="120">
        <v>282</v>
      </c>
      <c r="G55" s="81">
        <f t="shared" si="7"/>
        <v>817.8</v>
      </c>
      <c r="H55" s="82">
        <f t="shared" si="8"/>
        <v>269.87400000000002</v>
      </c>
      <c r="I55" s="81">
        <f t="shared" si="9"/>
        <v>1087.674</v>
      </c>
      <c r="J55" s="126" t="s">
        <v>199</v>
      </c>
      <c r="K55" s="176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</row>
    <row r="56" spans="1:24" s="174" customFormat="1" ht="14.25" x14ac:dyDescent="0.2">
      <c r="A56" s="172"/>
      <c r="B56" s="86" t="s">
        <v>121</v>
      </c>
      <c r="C56" s="113" t="s">
        <v>138</v>
      </c>
      <c r="D56" s="137" t="s">
        <v>53</v>
      </c>
      <c r="E56" s="119">
        <v>11.9</v>
      </c>
      <c r="F56" s="120">
        <v>94.03</v>
      </c>
      <c r="G56" s="81">
        <f t="shared" si="7"/>
        <v>1118.9570000000001</v>
      </c>
      <c r="H56" s="82">
        <f t="shared" si="8"/>
        <v>369.25581000000005</v>
      </c>
      <c r="I56" s="81">
        <f t="shared" si="9"/>
        <v>1488.2128100000002</v>
      </c>
      <c r="J56" s="121"/>
      <c r="K56" s="176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</row>
    <row r="57" spans="1:24" s="174" customFormat="1" ht="14.25" x14ac:dyDescent="0.2">
      <c r="A57" s="172"/>
      <c r="B57" s="86" t="s">
        <v>122</v>
      </c>
      <c r="C57" s="113" t="s">
        <v>179</v>
      </c>
      <c r="D57" s="137" t="s">
        <v>27</v>
      </c>
      <c r="E57" s="119">
        <v>16</v>
      </c>
      <c r="F57" s="120">
        <v>90</v>
      </c>
      <c r="G57" s="81">
        <f t="shared" si="7"/>
        <v>1440</v>
      </c>
      <c r="H57" s="82">
        <f t="shared" si="8"/>
        <v>475.20000000000005</v>
      </c>
      <c r="I57" s="81">
        <f t="shared" si="9"/>
        <v>1915.2</v>
      </c>
      <c r="J57" s="121"/>
      <c r="K57" s="176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</row>
    <row r="58" spans="1:24" s="174" customFormat="1" ht="14.25" x14ac:dyDescent="0.2">
      <c r="A58" s="172"/>
      <c r="B58" s="86"/>
      <c r="C58" s="113"/>
      <c r="D58" s="83"/>
      <c r="E58" s="119"/>
      <c r="F58" s="120"/>
      <c r="G58" s="81"/>
      <c r="H58" s="82"/>
      <c r="I58" s="81"/>
      <c r="J58" s="121"/>
      <c r="K58" s="176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</row>
    <row r="59" spans="1:24" s="174" customFormat="1" x14ac:dyDescent="0.2">
      <c r="A59" s="172"/>
      <c r="B59" s="109" t="s">
        <v>180</v>
      </c>
      <c r="C59" s="113"/>
      <c r="D59" s="83"/>
      <c r="E59" s="119"/>
      <c r="F59" s="120"/>
      <c r="G59" s="81"/>
      <c r="H59" s="82"/>
      <c r="I59" s="81"/>
      <c r="J59" s="121"/>
      <c r="K59" s="176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</row>
    <row r="60" spans="1:24" s="174" customFormat="1" ht="28.5" x14ac:dyDescent="0.2">
      <c r="A60" s="172"/>
      <c r="B60" s="86" t="s">
        <v>116</v>
      </c>
      <c r="C60" s="113" t="s">
        <v>181</v>
      </c>
      <c r="D60" s="137" t="s">
        <v>53</v>
      </c>
      <c r="E60" s="119">
        <v>3.6</v>
      </c>
      <c r="F60" s="120">
        <v>491.5</v>
      </c>
      <c r="G60" s="81">
        <f t="shared" si="7"/>
        <v>1769.4</v>
      </c>
      <c r="H60" s="82">
        <f t="shared" si="8"/>
        <v>583.90200000000004</v>
      </c>
      <c r="I60" s="81">
        <f t="shared" si="9"/>
        <v>2353.3020000000001</v>
      </c>
      <c r="J60" s="121"/>
      <c r="K60" s="176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</row>
    <row r="61" spans="1:24" s="174" customFormat="1" ht="14.25" x14ac:dyDescent="0.2">
      <c r="A61" s="172"/>
      <c r="B61" s="86" t="s">
        <v>182</v>
      </c>
      <c r="C61" s="113" t="s">
        <v>183</v>
      </c>
      <c r="D61" s="137" t="s">
        <v>42</v>
      </c>
      <c r="E61" s="119">
        <v>15</v>
      </c>
      <c r="F61" s="120">
        <v>35</v>
      </c>
      <c r="G61" s="81">
        <f t="shared" ref="G61:G80" si="10">F61*E61</f>
        <v>525</v>
      </c>
      <c r="H61" s="82">
        <f t="shared" ref="H61:H80" si="11">+G61*$J$11</f>
        <v>173.25</v>
      </c>
      <c r="I61" s="81">
        <f t="shared" ref="I61:I80" si="12">G61+H61</f>
        <v>698.25</v>
      </c>
      <c r="J61" s="121"/>
      <c r="K61" s="176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</row>
    <row r="62" spans="1:24" s="174" customFormat="1" ht="14.25" x14ac:dyDescent="0.2">
      <c r="A62" s="172"/>
      <c r="B62" s="86"/>
      <c r="C62" s="113" t="s">
        <v>184</v>
      </c>
      <c r="D62" s="137" t="s">
        <v>42</v>
      </c>
      <c r="E62" s="119">
        <v>33</v>
      </c>
      <c r="F62" s="120">
        <v>45</v>
      </c>
      <c r="G62" s="81">
        <f t="shared" si="10"/>
        <v>1485</v>
      </c>
      <c r="H62" s="82">
        <f t="shared" si="11"/>
        <v>490.05</v>
      </c>
      <c r="I62" s="81">
        <f t="shared" si="12"/>
        <v>1975.05</v>
      </c>
      <c r="J62" s="121"/>
      <c r="K62" s="176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</row>
    <row r="63" spans="1:24" s="174" customFormat="1" ht="14.25" x14ac:dyDescent="0.2">
      <c r="A63" s="172"/>
      <c r="B63" s="86" t="s">
        <v>136</v>
      </c>
      <c r="C63" s="113" t="s">
        <v>185</v>
      </c>
      <c r="D63" s="137" t="s">
        <v>25</v>
      </c>
      <c r="E63" s="119">
        <v>21</v>
      </c>
      <c r="F63" s="120">
        <v>35</v>
      </c>
      <c r="G63" s="81">
        <f t="shared" si="10"/>
        <v>735</v>
      </c>
      <c r="H63" s="82">
        <f t="shared" si="11"/>
        <v>242.55</v>
      </c>
      <c r="I63" s="81">
        <f t="shared" si="12"/>
        <v>977.55</v>
      </c>
      <c r="J63" s="121"/>
      <c r="K63" s="176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</row>
    <row r="64" spans="1:24" s="174" customFormat="1" ht="14.25" x14ac:dyDescent="0.2">
      <c r="A64" s="172"/>
      <c r="B64" s="86"/>
      <c r="C64" s="113" t="s">
        <v>186</v>
      </c>
      <c r="D64" s="137" t="s">
        <v>25</v>
      </c>
      <c r="E64" s="119">
        <v>70</v>
      </c>
      <c r="F64" s="120">
        <v>5</v>
      </c>
      <c r="G64" s="81">
        <f t="shared" si="10"/>
        <v>350</v>
      </c>
      <c r="H64" s="82">
        <f t="shared" si="11"/>
        <v>115.5</v>
      </c>
      <c r="I64" s="81">
        <f t="shared" si="12"/>
        <v>465.5</v>
      </c>
      <c r="J64" s="121"/>
      <c r="K64" s="176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</row>
    <row r="65" spans="1:24" s="174" customFormat="1" ht="14.25" x14ac:dyDescent="0.2">
      <c r="A65" s="172"/>
      <c r="B65" s="86"/>
      <c r="C65" s="113" t="s">
        <v>187</v>
      </c>
      <c r="D65" s="137" t="s">
        <v>25</v>
      </c>
      <c r="E65" s="119">
        <v>7</v>
      </c>
      <c r="F65" s="120">
        <v>110</v>
      </c>
      <c r="G65" s="81">
        <f t="shared" si="10"/>
        <v>770</v>
      </c>
      <c r="H65" s="82">
        <f t="shared" si="11"/>
        <v>254.10000000000002</v>
      </c>
      <c r="I65" s="81">
        <f t="shared" si="12"/>
        <v>1024.0999999999999</v>
      </c>
      <c r="J65" s="121"/>
      <c r="K65" s="176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</row>
    <row r="66" spans="1:24" s="174" customFormat="1" ht="14.25" x14ac:dyDescent="0.2">
      <c r="A66" s="172"/>
      <c r="B66" s="86"/>
      <c r="C66" s="113" t="s">
        <v>188</v>
      </c>
      <c r="D66" s="137" t="s">
        <v>76</v>
      </c>
      <c r="E66" s="119">
        <v>0.1</v>
      </c>
      <c r="F66" s="120">
        <v>1900</v>
      </c>
      <c r="G66" s="81">
        <f t="shared" si="10"/>
        <v>190</v>
      </c>
      <c r="H66" s="82">
        <f t="shared" si="11"/>
        <v>62.7</v>
      </c>
      <c r="I66" s="81">
        <f t="shared" si="12"/>
        <v>252.7</v>
      </c>
      <c r="J66" s="121"/>
      <c r="K66" s="176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</row>
    <row r="67" spans="1:24" s="174" customFormat="1" ht="28.5" x14ac:dyDescent="0.2">
      <c r="A67" s="172"/>
      <c r="B67" s="86"/>
      <c r="C67" s="113" t="s">
        <v>189</v>
      </c>
      <c r="D67" s="137" t="s">
        <v>25</v>
      </c>
      <c r="E67" s="119">
        <v>6</v>
      </c>
      <c r="F67" s="120">
        <v>25</v>
      </c>
      <c r="G67" s="81">
        <f t="shared" si="10"/>
        <v>150</v>
      </c>
      <c r="H67" s="82">
        <f t="shared" si="11"/>
        <v>49.5</v>
      </c>
      <c r="I67" s="81">
        <f t="shared" si="12"/>
        <v>199.5</v>
      </c>
      <c r="J67" s="121"/>
      <c r="K67" s="176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</row>
    <row r="68" spans="1:24" s="174" customFormat="1" ht="14.25" x14ac:dyDescent="0.2">
      <c r="A68" s="172"/>
      <c r="B68" s="86"/>
      <c r="C68" s="113" t="s">
        <v>139</v>
      </c>
      <c r="D68" s="137" t="s">
        <v>22</v>
      </c>
      <c r="E68" s="119">
        <v>1</v>
      </c>
      <c r="F68" s="120">
        <v>500</v>
      </c>
      <c r="G68" s="81">
        <f t="shared" si="10"/>
        <v>500</v>
      </c>
      <c r="H68" s="82">
        <f t="shared" si="11"/>
        <v>165</v>
      </c>
      <c r="I68" s="81">
        <f t="shared" si="12"/>
        <v>665</v>
      </c>
      <c r="J68" s="121"/>
      <c r="K68" s="176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</row>
    <row r="69" spans="1:24" s="174" customFormat="1" ht="14.25" x14ac:dyDescent="0.2">
      <c r="A69" s="172"/>
      <c r="B69" s="86"/>
      <c r="C69" s="113" t="s">
        <v>65</v>
      </c>
      <c r="D69" s="137" t="s">
        <v>25</v>
      </c>
      <c r="E69" s="119">
        <v>1</v>
      </c>
      <c r="F69" s="120">
        <v>150</v>
      </c>
      <c r="G69" s="81">
        <f t="shared" si="10"/>
        <v>150</v>
      </c>
      <c r="H69" s="82">
        <f t="shared" si="11"/>
        <v>49.5</v>
      </c>
      <c r="I69" s="81">
        <f t="shared" si="12"/>
        <v>199.5</v>
      </c>
      <c r="J69" s="121"/>
      <c r="K69" s="176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</row>
    <row r="70" spans="1:24" s="174" customFormat="1" ht="14.25" x14ac:dyDescent="0.2">
      <c r="A70" s="172"/>
      <c r="B70" s="86" t="s">
        <v>117</v>
      </c>
      <c r="C70" s="113" t="s">
        <v>190</v>
      </c>
      <c r="D70" s="137" t="s">
        <v>27</v>
      </c>
      <c r="E70" s="119">
        <v>24</v>
      </c>
      <c r="F70" s="120">
        <v>90</v>
      </c>
      <c r="G70" s="81">
        <f t="shared" si="10"/>
        <v>2160</v>
      </c>
      <c r="H70" s="82">
        <f t="shared" si="11"/>
        <v>712.80000000000007</v>
      </c>
      <c r="I70" s="81">
        <f t="shared" si="12"/>
        <v>2872.8</v>
      </c>
      <c r="J70" s="121"/>
      <c r="K70" s="176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</row>
    <row r="71" spans="1:24" s="174" customFormat="1" ht="28.5" x14ac:dyDescent="0.2">
      <c r="A71" s="172"/>
      <c r="B71" s="189" t="s">
        <v>118</v>
      </c>
      <c r="C71" s="113" t="s">
        <v>191</v>
      </c>
      <c r="D71" s="137" t="s">
        <v>53</v>
      </c>
      <c r="E71" s="119">
        <v>8.8000000000000007</v>
      </c>
      <c r="F71" s="120">
        <v>264</v>
      </c>
      <c r="G71" s="81">
        <f t="shared" si="10"/>
        <v>2323.2000000000003</v>
      </c>
      <c r="H71" s="82">
        <f t="shared" si="11"/>
        <v>766.65600000000018</v>
      </c>
      <c r="I71" s="81">
        <f t="shared" si="12"/>
        <v>3089.8560000000007</v>
      </c>
      <c r="J71" s="126" t="s">
        <v>200</v>
      </c>
      <c r="K71" s="176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</row>
    <row r="72" spans="1:24" s="174" customFormat="1" ht="14.25" x14ac:dyDescent="0.2">
      <c r="A72" s="172"/>
      <c r="B72" s="86"/>
      <c r="C72" s="113" t="s">
        <v>192</v>
      </c>
      <c r="D72" s="137" t="s">
        <v>53</v>
      </c>
      <c r="E72" s="119">
        <v>1.8</v>
      </c>
      <c r="F72" s="120">
        <v>264</v>
      </c>
      <c r="G72" s="81">
        <f t="shared" si="10"/>
        <v>475.2</v>
      </c>
      <c r="H72" s="82">
        <f t="shared" si="11"/>
        <v>156.816</v>
      </c>
      <c r="I72" s="81">
        <f t="shared" si="12"/>
        <v>632.01599999999996</v>
      </c>
      <c r="J72" s="126" t="s">
        <v>200</v>
      </c>
      <c r="K72" s="176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</row>
    <row r="73" spans="1:24" s="174" customFormat="1" ht="14.25" x14ac:dyDescent="0.2">
      <c r="A73" s="172"/>
      <c r="B73" s="86"/>
      <c r="C73" s="113" t="s">
        <v>193</v>
      </c>
      <c r="D73" s="137" t="s">
        <v>53</v>
      </c>
      <c r="E73" s="119">
        <v>5.7</v>
      </c>
      <c r="F73" s="120">
        <v>264</v>
      </c>
      <c r="G73" s="81">
        <f t="shared" si="10"/>
        <v>1504.8</v>
      </c>
      <c r="H73" s="82">
        <f t="shared" si="11"/>
        <v>496.584</v>
      </c>
      <c r="I73" s="81">
        <f t="shared" si="12"/>
        <v>2001.384</v>
      </c>
      <c r="J73" s="126" t="s">
        <v>200</v>
      </c>
      <c r="K73" s="176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</row>
    <row r="74" spans="1:24" s="174" customFormat="1" ht="14.25" x14ac:dyDescent="0.2">
      <c r="A74" s="172"/>
      <c r="B74" s="86" t="s">
        <v>121</v>
      </c>
      <c r="C74" s="113" t="s">
        <v>138</v>
      </c>
      <c r="D74" s="137" t="s">
        <v>53</v>
      </c>
      <c r="E74" s="119">
        <v>18</v>
      </c>
      <c r="F74" s="120">
        <v>54.44</v>
      </c>
      <c r="G74" s="81">
        <f t="shared" si="10"/>
        <v>979.92</v>
      </c>
      <c r="H74" s="82">
        <f t="shared" si="11"/>
        <v>323.37360000000001</v>
      </c>
      <c r="I74" s="81">
        <f t="shared" si="12"/>
        <v>1303.2936</v>
      </c>
      <c r="J74" s="121"/>
      <c r="K74" s="176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</row>
    <row r="75" spans="1:24" s="174" customFormat="1" ht="14.25" x14ac:dyDescent="0.2">
      <c r="A75" s="172"/>
      <c r="B75" s="86" t="s">
        <v>122</v>
      </c>
      <c r="C75" s="113" t="s">
        <v>194</v>
      </c>
      <c r="D75" s="137" t="s">
        <v>27</v>
      </c>
      <c r="E75" s="119">
        <v>32</v>
      </c>
      <c r="F75" s="120">
        <v>90</v>
      </c>
      <c r="G75" s="81">
        <f t="shared" si="10"/>
        <v>2880</v>
      </c>
      <c r="H75" s="82">
        <f t="shared" si="11"/>
        <v>950.40000000000009</v>
      </c>
      <c r="I75" s="81">
        <f t="shared" si="12"/>
        <v>3830.4</v>
      </c>
      <c r="J75" s="121"/>
      <c r="K75" s="176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</row>
    <row r="76" spans="1:24" s="174" customFormat="1" ht="14.25" x14ac:dyDescent="0.2">
      <c r="A76" s="172"/>
      <c r="B76" s="86" t="s">
        <v>119</v>
      </c>
      <c r="C76" s="113" t="s">
        <v>120</v>
      </c>
      <c r="D76" s="137" t="s">
        <v>5</v>
      </c>
      <c r="E76" s="119">
        <v>72</v>
      </c>
      <c r="F76" s="120">
        <v>10</v>
      </c>
      <c r="G76" s="81">
        <f t="shared" si="10"/>
        <v>720</v>
      </c>
      <c r="H76" s="82">
        <f t="shared" si="11"/>
        <v>237.60000000000002</v>
      </c>
      <c r="I76" s="81">
        <f t="shared" si="12"/>
        <v>957.6</v>
      </c>
      <c r="J76" s="121"/>
      <c r="K76" s="176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</row>
    <row r="77" spans="1:24" s="174" customFormat="1" ht="14.25" x14ac:dyDescent="0.2">
      <c r="A77" s="172"/>
      <c r="B77" s="86"/>
      <c r="C77" s="113"/>
      <c r="D77" s="83"/>
      <c r="E77" s="119"/>
      <c r="F77" s="120"/>
      <c r="G77" s="81"/>
      <c r="H77" s="82"/>
      <c r="I77" s="81"/>
      <c r="J77" s="121"/>
      <c r="K77" s="176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</row>
    <row r="78" spans="1:24" s="174" customFormat="1" ht="30" x14ac:dyDescent="0.2">
      <c r="A78" s="172"/>
      <c r="B78" s="127" t="s">
        <v>195</v>
      </c>
      <c r="C78" s="113" t="s">
        <v>196</v>
      </c>
      <c r="D78" s="137" t="s">
        <v>63</v>
      </c>
      <c r="E78" s="119">
        <v>1</v>
      </c>
      <c r="F78" s="120">
        <v>3500</v>
      </c>
      <c r="G78" s="81">
        <f t="shared" si="10"/>
        <v>3500</v>
      </c>
      <c r="H78" s="82">
        <f t="shared" si="11"/>
        <v>1155</v>
      </c>
      <c r="I78" s="81">
        <f t="shared" si="12"/>
        <v>4655</v>
      </c>
      <c r="J78" s="121"/>
      <c r="K78" s="176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</row>
    <row r="79" spans="1:24" s="174" customFormat="1" ht="14.25" x14ac:dyDescent="0.2">
      <c r="A79" s="172"/>
      <c r="B79" s="86"/>
      <c r="C79" s="113"/>
      <c r="D79" s="83"/>
      <c r="E79" s="119"/>
      <c r="F79" s="120"/>
      <c r="G79" s="81"/>
      <c r="H79" s="82"/>
      <c r="I79" s="81"/>
      <c r="J79" s="121"/>
      <c r="K79" s="176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</row>
    <row r="80" spans="1:24" s="174" customFormat="1" ht="28.5" x14ac:dyDescent="0.2">
      <c r="A80" s="172"/>
      <c r="B80" s="109" t="s">
        <v>197</v>
      </c>
      <c r="C80" s="113" t="s">
        <v>198</v>
      </c>
      <c r="D80" s="137" t="s">
        <v>5</v>
      </c>
      <c r="E80" s="119">
        <v>35</v>
      </c>
      <c r="F80" s="120">
        <v>150</v>
      </c>
      <c r="G80" s="81">
        <f t="shared" si="10"/>
        <v>5250</v>
      </c>
      <c r="H80" s="82">
        <f t="shared" si="11"/>
        <v>1732.5</v>
      </c>
      <c r="I80" s="81">
        <f t="shared" si="12"/>
        <v>6982.5</v>
      </c>
      <c r="J80" s="121"/>
      <c r="K80" s="176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</row>
    <row r="81" spans="1:24" ht="15.75" customHeight="1" thickBot="1" x14ac:dyDescent="0.25">
      <c r="A81" s="105"/>
      <c r="B81" s="11"/>
      <c r="C81" s="53"/>
      <c r="D81" s="6"/>
      <c r="E81" s="84"/>
      <c r="F81" s="85"/>
      <c r="G81" s="25"/>
      <c r="H81" s="76"/>
      <c r="I81" s="25"/>
      <c r="J81" s="26"/>
      <c r="K81" s="10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7.45" customHeight="1" thickBot="1" x14ac:dyDescent="0.25">
      <c r="A82" s="78"/>
      <c r="B82" s="135" t="s">
        <v>28</v>
      </c>
      <c r="C82" s="136" t="s">
        <v>201</v>
      </c>
      <c r="D82" s="130"/>
      <c r="E82" s="131" t="s">
        <v>16</v>
      </c>
      <c r="F82" s="132" t="s">
        <v>17</v>
      </c>
      <c r="G82" s="132" t="s">
        <v>18</v>
      </c>
      <c r="H82" s="132" t="s">
        <v>7</v>
      </c>
      <c r="I82" s="132" t="s">
        <v>19</v>
      </c>
      <c r="J82" s="133" t="s">
        <v>20</v>
      </c>
      <c r="K82" s="134">
        <f>SUM(I83:I99)</f>
        <v>65898.84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x14ac:dyDescent="0.25">
      <c r="A83" s="1"/>
      <c r="B83" s="80"/>
      <c r="C83" s="53"/>
      <c r="D83" s="6"/>
      <c r="E83" s="84"/>
      <c r="F83" s="85"/>
      <c r="G83" s="25"/>
      <c r="H83" s="76"/>
      <c r="I83" s="25"/>
      <c r="J83" s="26"/>
      <c r="K83" s="7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s="174" customFormat="1" x14ac:dyDescent="0.2">
      <c r="A84" s="172"/>
      <c r="B84" s="127" t="s">
        <v>202</v>
      </c>
      <c r="C84" s="113"/>
      <c r="D84" s="137"/>
      <c r="E84" s="119"/>
      <c r="F84" s="120"/>
      <c r="G84" s="81"/>
      <c r="H84" s="82"/>
      <c r="I84" s="81"/>
      <c r="J84" s="126"/>
      <c r="K84" s="177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</row>
    <row r="85" spans="1:24" s="174" customFormat="1" ht="28.5" x14ac:dyDescent="0.2">
      <c r="A85" s="172"/>
      <c r="B85" s="143" t="s">
        <v>123</v>
      </c>
      <c r="C85" s="113" t="s">
        <v>203</v>
      </c>
      <c r="D85" s="137" t="s">
        <v>5</v>
      </c>
      <c r="E85" s="119">
        <v>44</v>
      </c>
      <c r="F85" s="120"/>
      <c r="G85" s="81"/>
      <c r="H85" s="82"/>
      <c r="I85" s="81"/>
      <c r="J85" s="126"/>
      <c r="K85" s="177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</row>
    <row r="86" spans="1:24" s="174" customFormat="1" ht="28.5" x14ac:dyDescent="0.2">
      <c r="A86" s="172"/>
      <c r="B86" s="143"/>
      <c r="C86" s="113" t="s">
        <v>204</v>
      </c>
      <c r="D86" s="137" t="s">
        <v>5</v>
      </c>
      <c r="E86" s="119">
        <v>50</v>
      </c>
      <c r="F86" s="120"/>
      <c r="G86" s="81"/>
      <c r="H86" s="82"/>
      <c r="I86" s="81"/>
      <c r="J86" s="126"/>
      <c r="K86" s="177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</row>
    <row r="87" spans="1:24" s="174" customFormat="1" ht="28.5" x14ac:dyDescent="0.2">
      <c r="A87" s="172"/>
      <c r="B87" s="143"/>
      <c r="C87" s="113" t="s">
        <v>205</v>
      </c>
      <c r="D87" s="137" t="s">
        <v>5</v>
      </c>
      <c r="E87" s="119">
        <v>77</v>
      </c>
      <c r="F87" s="120"/>
      <c r="G87" s="81"/>
      <c r="H87" s="82"/>
      <c r="I87" s="81"/>
      <c r="J87" s="126"/>
      <c r="K87" s="177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</row>
    <row r="88" spans="1:24" s="174" customFormat="1" x14ac:dyDescent="0.2">
      <c r="A88" s="172"/>
      <c r="B88" s="143" t="s">
        <v>124</v>
      </c>
      <c r="C88" s="113" t="s">
        <v>206</v>
      </c>
      <c r="D88" s="137" t="s">
        <v>25</v>
      </c>
      <c r="E88" s="119">
        <v>2223</v>
      </c>
      <c r="F88" s="120">
        <v>4.5</v>
      </c>
      <c r="G88" s="81">
        <f t="shared" ref="G88:G99" si="13">F88*E88</f>
        <v>10003.5</v>
      </c>
      <c r="H88" s="82">
        <f t="shared" ref="H88:H99" si="14">+G88*$J$11</f>
        <v>3301.1550000000002</v>
      </c>
      <c r="I88" s="81">
        <f t="shared" ref="I88:I99" si="15">G88+H88</f>
        <v>13304.655000000001</v>
      </c>
      <c r="J88" s="126"/>
      <c r="K88" s="177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</row>
    <row r="89" spans="1:24" s="174" customFormat="1" x14ac:dyDescent="0.2">
      <c r="A89" s="172"/>
      <c r="B89" s="143"/>
      <c r="C89" s="113" t="s">
        <v>65</v>
      </c>
      <c r="D89" s="137" t="s">
        <v>25</v>
      </c>
      <c r="E89" s="119">
        <v>3</v>
      </c>
      <c r="F89" s="120">
        <v>450</v>
      </c>
      <c r="G89" s="81">
        <f t="shared" si="13"/>
        <v>1350</v>
      </c>
      <c r="H89" s="82">
        <f t="shared" si="14"/>
        <v>445.5</v>
      </c>
      <c r="I89" s="81">
        <f t="shared" si="15"/>
        <v>1795.5</v>
      </c>
      <c r="J89" s="126"/>
      <c r="K89" s="177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</row>
    <row r="90" spans="1:24" s="174" customFormat="1" x14ac:dyDescent="0.2">
      <c r="A90" s="172"/>
      <c r="B90" s="143" t="s">
        <v>207</v>
      </c>
      <c r="C90" s="113" t="s">
        <v>208</v>
      </c>
      <c r="D90" s="137" t="s">
        <v>25</v>
      </c>
      <c r="E90" s="119">
        <v>2223</v>
      </c>
      <c r="F90" s="120">
        <v>0.5</v>
      </c>
      <c r="G90" s="81">
        <f t="shared" si="13"/>
        <v>1111.5</v>
      </c>
      <c r="H90" s="82">
        <f t="shared" si="14"/>
        <v>366.79500000000002</v>
      </c>
      <c r="I90" s="81">
        <f t="shared" si="15"/>
        <v>1478.2950000000001</v>
      </c>
      <c r="J90" s="126"/>
      <c r="K90" s="177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</row>
    <row r="91" spans="1:24" s="174" customFormat="1" x14ac:dyDescent="0.2">
      <c r="A91" s="172"/>
      <c r="B91" s="127" t="s">
        <v>209</v>
      </c>
      <c r="C91" s="113" t="s">
        <v>210</v>
      </c>
      <c r="D91" s="137" t="s">
        <v>76</v>
      </c>
      <c r="E91" s="119">
        <v>0.8</v>
      </c>
      <c r="F91" s="120">
        <v>1900</v>
      </c>
      <c r="G91" s="81">
        <f t="shared" si="13"/>
        <v>1520</v>
      </c>
      <c r="H91" s="82">
        <f t="shared" si="14"/>
        <v>501.6</v>
      </c>
      <c r="I91" s="81">
        <f t="shared" si="15"/>
        <v>2021.6</v>
      </c>
      <c r="J91" s="126"/>
      <c r="K91" s="177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</row>
    <row r="92" spans="1:24" s="174" customFormat="1" x14ac:dyDescent="0.2">
      <c r="A92" s="172"/>
      <c r="B92" s="143"/>
      <c r="C92" s="113" t="s">
        <v>211</v>
      </c>
      <c r="D92" s="137" t="s">
        <v>76</v>
      </c>
      <c r="E92" s="119">
        <v>0.9</v>
      </c>
      <c r="F92" s="120">
        <v>1900</v>
      </c>
      <c r="G92" s="81">
        <f t="shared" si="13"/>
        <v>1710</v>
      </c>
      <c r="H92" s="82">
        <f t="shared" si="14"/>
        <v>564.30000000000007</v>
      </c>
      <c r="I92" s="81">
        <f t="shared" si="15"/>
        <v>2274.3000000000002</v>
      </c>
      <c r="J92" s="126"/>
      <c r="K92" s="177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</row>
    <row r="93" spans="1:24" s="174" customFormat="1" x14ac:dyDescent="0.2">
      <c r="A93" s="172"/>
      <c r="B93" s="143"/>
      <c r="C93" s="113" t="s">
        <v>65</v>
      </c>
      <c r="D93" s="137" t="s">
        <v>25</v>
      </c>
      <c r="E93" s="119">
        <v>1</v>
      </c>
      <c r="F93" s="120">
        <v>450</v>
      </c>
      <c r="G93" s="81">
        <f t="shared" si="13"/>
        <v>450</v>
      </c>
      <c r="H93" s="82">
        <f t="shared" si="14"/>
        <v>148.5</v>
      </c>
      <c r="I93" s="81">
        <f t="shared" si="15"/>
        <v>598.5</v>
      </c>
      <c r="J93" s="126"/>
      <c r="K93" s="177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</row>
    <row r="94" spans="1:24" s="174" customFormat="1" ht="30" x14ac:dyDescent="0.2">
      <c r="A94" s="172"/>
      <c r="B94" s="127" t="s">
        <v>212</v>
      </c>
      <c r="C94" s="113" t="s">
        <v>213</v>
      </c>
      <c r="D94" s="137" t="s">
        <v>25</v>
      </c>
      <c r="E94" s="119">
        <v>2223</v>
      </c>
      <c r="F94" s="120">
        <v>9</v>
      </c>
      <c r="G94" s="81">
        <f t="shared" si="13"/>
        <v>20007</v>
      </c>
      <c r="H94" s="82">
        <f t="shared" si="14"/>
        <v>6602.31</v>
      </c>
      <c r="I94" s="81">
        <f t="shared" si="15"/>
        <v>26609.31</v>
      </c>
      <c r="J94" s="126"/>
      <c r="K94" s="177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</row>
    <row r="95" spans="1:24" s="174" customFormat="1" x14ac:dyDescent="0.2">
      <c r="A95" s="172"/>
      <c r="B95" s="143"/>
      <c r="C95" s="113" t="s">
        <v>214</v>
      </c>
      <c r="D95" s="137" t="s">
        <v>22</v>
      </c>
      <c r="E95" s="119">
        <v>1</v>
      </c>
      <c r="F95" s="120">
        <v>500</v>
      </c>
      <c r="G95" s="81">
        <f t="shared" si="13"/>
        <v>500</v>
      </c>
      <c r="H95" s="82">
        <f t="shared" si="14"/>
        <v>165</v>
      </c>
      <c r="I95" s="81">
        <f t="shared" si="15"/>
        <v>665</v>
      </c>
      <c r="J95" s="126"/>
      <c r="K95" s="177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</row>
    <row r="96" spans="1:24" s="174" customFormat="1" x14ac:dyDescent="0.2">
      <c r="A96" s="172"/>
      <c r="B96" s="127" t="s">
        <v>215</v>
      </c>
      <c r="C96" s="113" t="s">
        <v>219</v>
      </c>
      <c r="D96" s="137" t="s">
        <v>53</v>
      </c>
      <c r="E96" s="119">
        <v>17.8</v>
      </c>
      <c r="F96" s="120">
        <v>240</v>
      </c>
      <c r="G96" s="81">
        <f t="shared" si="13"/>
        <v>4272</v>
      </c>
      <c r="H96" s="82">
        <f t="shared" si="14"/>
        <v>1409.76</v>
      </c>
      <c r="I96" s="81">
        <f t="shared" si="15"/>
        <v>5681.76</v>
      </c>
      <c r="J96" s="126"/>
      <c r="K96" s="177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</row>
    <row r="97" spans="1:24" s="174" customFormat="1" x14ac:dyDescent="0.2">
      <c r="A97" s="172"/>
      <c r="B97" s="143"/>
      <c r="C97" s="113" t="s">
        <v>216</v>
      </c>
      <c r="D97" s="137" t="s">
        <v>53</v>
      </c>
      <c r="E97" s="119">
        <v>17.8</v>
      </c>
      <c r="F97" s="120">
        <v>80</v>
      </c>
      <c r="G97" s="81">
        <f t="shared" si="13"/>
        <v>1424</v>
      </c>
      <c r="H97" s="82">
        <f t="shared" si="14"/>
        <v>469.92</v>
      </c>
      <c r="I97" s="81">
        <f t="shared" si="15"/>
        <v>1893.92</v>
      </c>
      <c r="J97" s="126"/>
      <c r="K97" s="177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</row>
    <row r="98" spans="1:24" s="174" customFormat="1" x14ac:dyDescent="0.2">
      <c r="A98" s="172"/>
      <c r="B98" s="143"/>
      <c r="C98" s="113" t="s">
        <v>217</v>
      </c>
      <c r="D98" s="137" t="s">
        <v>25</v>
      </c>
      <c r="E98" s="119">
        <v>3</v>
      </c>
      <c r="F98" s="120">
        <v>1500</v>
      </c>
      <c r="G98" s="81">
        <f t="shared" si="13"/>
        <v>4500</v>
      </c>
      <c r="H98" s="82">
        <f t="shared" si="14"/>
        <v>1485</v>
      </c>
      <c r="I98" s="81">
        <f t="shared" si="15"/>
        <v>5985</v>
      </c>
      <c r="J98" s="126"/>
      <c r="K98" s="177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</row>
    <row r="99" spans="1:24" s="174" customFormat="1" x14ac:dyDescent="0.2">
      <c r="A99" s="172"/>
      <c r="B99" s="143"/>
      <c r="C99" s="113" t="s">
        <v>218</v>
      </c>
      <c r="D99" s="137" t="s">
        <v>27</v>
      </c>
      <c r="E99" s="119">
        <v>30</v>
      </c>
      <c r="F99" s="120">
        <v>90</v>
      </c>
      <c r="G99" s="81">
        <f t="shared" si="13"/>
        <v>2700</v>
      </c>
      <c r="H99" s="82">
        <f t="shared" si="14"/>
        <v>891</v>
      </c>
      <c r="I99" s="81">
        <f t="shared" si="15"/>
        <v>3591</v>
      </c>
      <c r="J99" s="126"/>
      <c r="K99" s="177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</row>
    <row r="100" spans="1:24" s="174" customFormat="1" ht="15.75" thickBot="1" x14ac:dyDescent="0.25">
      <c r="A100" s="172"/>
      <c r="B100" s="143"/>
      <c r="C100" s="183"/>
      <c r="D100" s="137"/>
      <c r="E100" s="119"/>
      <c r="F100" s="120"/>
      <c r="G100" s="81"/>
      <c r="H100" s="82"/>
      <c r="I100" s="81"/>
      <c r="J100" s="121"/>
      <c r="K100" s="177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</row>
    <row r="101" spans="1:24" ht="17.45" customHeight="1" thickBot="1" x14ac:dyDescent="0.25">
      <c r="A101" s="78"/>
      <c r="B101" s="135" t="s">
        <v>29</v>
      </c>
      <c r="C101" s="136" t="s">
        <v>220</v>
      </c>
      <c r="D101" s="130" t="s">
        <v>15</v>
      </c>
      <c r="E101" s="131" t="s">
        <v>16</v>
      </c>
      <c r="F101" s="132" t="s">
        <v>17</v>
      </c>
      <c r="G101" s="132" t="s">
        <v>18</v>
      </c>
      <c r="H101" s="132" t="s">
        <v>7</v>
      </c>
      <c r="I101" s="132" t="s">
        <v>19</v>
      </c>
      <c r="J101" s="133" t="s">
        <v>20</v>
      </c>
      <c r="K101" s="134">
        <f>SUM(I102:I108)</f>
        <v>4435.5500000000011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x14ac:dyDescent="0.25">
      <c r="A102" s="105"/>
      <c r="B102" s="18"/>
      <c r="C102" s="53"/>
      <c r="D102" s="108"/>
      <c r="E102" s="84"/>
      <c r="F102" s="85"/>
      <c r="G102" s="25"/>
      <c r="H102" s="76"/>
      <c r="I102" s="25"/>
      <c r="J102" s="123"/>
      <c r="K102" s="118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s="174" customFormat="1" x14ac:dyDescent="0.2">
      <c r="A103" s="172"/>
      <c r="B103" s="109" t="s">
        <v>140</v>
      </c>
      <c r="C103" s="113" t="s">
        <v>141</v>
      </c>
      <c r="D103" s="137" t="s">
        <v>5</v>
      </c>
      <c r="E103" s="119">
        <v>12</v>
      </c>
      <c r="F103" s="120">
        <v>65</v>
      </c>
      <c r="G103" s="81">
        <f t="shared" ref="G103:G108" si="16">F103*E103</f>
        <v>780</v>
      </c>
      <c r="H103" s="82">
        <f t="shared" ref="H103:H108" si="17">+G103*$J$11</f>
        <v>257.40000000000003</v>
      </c>
      <c r="I103" s="81">
        <f t="shared" ref="I103:I108" si="18">G103+H103</f>
        <v>1037.4000000000001</v>
      </c>
      <c r="J103" s="126"/>
      <c r="K103" s="177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</row>
    <row r="104" spans="1:24" s="174" customFormat="1" x14ac:dyDescent="0.2">
      <c r="A104" s="172"/>
      <c r="B104" s="109" t="s">
        <v>147</v>
      </c>
      <c r="C104" s="113" t="s">
        <v>142</v>
      </c>
      <c r="D104" s="137" t="s">
        <v>25</v>
      </c>
      <c r="E104" s="119">
        <v>1</v>
      </c>
      <c r="F104" s="120">
        <v>200</v>
      </c>
      <c r="G104" s="81">
        <f t="shared" si="16"/>
        <v>200</v>
      </c>
      <c r="H104" s="82">
        <f t="shared" si="17"/>
        <v>66</v>
      </c>
      <c r="I104" s="81">
        <f t="shared" si="18"/>
        <v>266</v>
      </c>
      <c r="J104" s="126"/>
      <c r="K104" s="177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</row>
    <row r="105" spans="1:24" s="174" customFormat="1" x14ac:dyDescent="0.2">
      <c r="A105" s="172"/>
      <c r="B105" s="109"/>
      <c r="C105" s="113" t="s">
        <v>143</v>
      </c>
      <c r="D105" s="137" t="s">
        <v>25</v>
      </c>
      <c r="E105" s="119">
        <v>1</v>
      </c>
      <c r="F105" s="120">
        <v>150</v>
      </c>
      <c r="G105" s="81">
        <f t="shared" si="16"/>
        <v>150</v>
      </c>
      <c r="H105" s="82">
        <f t="shared" si="17"/>
        <v>49.5</v>
      </c>
      <c r="I105" s="81">
        <f t="shared" si="18"/>
        <v>199.5</v>
      </c>
      <c r="J105" s="126"/>
      <c r="K105" s="177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</row>
    <row r="106" spans="1:24" s="174" customFormat="1" ht="28.5" x14ac:dyDescent="0.2">
      <c r="A106" s="172"/>
      <c r="B106" s="109" t="s">
        <v>144</v>
      </c>
      <c r="C106" s="113" t="s">
        <v>145</v>
      </c>
      <c r="D106" s="137" t="s">
        <v>53</v>
      </c>
      <c r="E106" s="119">
        <v>5</v>
      </c>
      <c r="F106" s="120">
        <v>153</v>
      </c>
      <c r="G106" s="81">
        <f t="shared" si="16"/>
        <v>765</v>
      </c>
      <c r="H106" s="82">
        <f t="shared" si="17"/>
        <v>252.45000000000002</v>
      </c>
      <c r="I106" s="81">
        <f t="shared" si="18"/>
        <v>1017.45</v>
      </c>
      <c r="J106" s="126"/>
      <c r="K106" s="177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</row>
    <row r="107" spans="1:24" s="174" customFormat="1" x14ac:dyDescent="0.2">
      <c r="A107" s="172"/>
      <c r="B107" s="109"/>
      <c r="C107" s="113" t="s">
        <v>146</v>
      </c>
      <c r="D107" s="137" t="s">
        <v>27</v>
      </c>
      <c r="E107" s="119">
        <v>4</v>
      </c>
      <c r="F107" s="120">
        <v>90</v>
      </c>
      <c r="G107" s="81">
        <f t="shared" si="16"/>
        <v>360</v>
      </c>
      <c r="H107" s="82">
        <f t="shared" si="17"/>
        <v>118.80000000000001</v>
      </c>
      <c r="I107" s="81">
        <f t="shared" si="18"/>
        <v>478.8</v>
      </c>
      <c r="J107" s="126"/>
      <c r="K107" s="177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</row>
    <row r="108" spans="1:24" s="174" customFormat="1" ht="28.5" x14ac:dyDescent="0.2">
      <c r="A108" s="172"/>
      <c r="B108" s="109" t="s">
        <v>48</v>
      </c>
      <c r="C108" s="113" t="s">
        <v>221</v>
      </c>
      <c r="D108" s="137" t="s">
        <v>27</v>
      </c>
      <c r="E108" s="119">
        <v>12</v>
      </c>
      <c r="F108" s="120">
        <v>90</v>
      </c>
      <c r="G108" s="81">
        <f t="shared" si="16"/>
        <v>1080</v>
      </c>
      <c r="H108" s="82">
        <f t="shared" si="17"/>
        <v>356.40000000000003</v>
      </c>
      <c r="I108" s="81">
        <f t="shared" si="18"/>
        <v>1436.4</v>
      </c>
      <c r="J108" s="126"/>
      <c r="K108" s="177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</row>
    <row r="109" spans="1:24" s="174" customFormat="1" ht="15.75" thickBot="1" x14ac:dyDescent="0.25">
      <c r="A109" s="172"/>
      <c r="B109" s="122"/>
      <c r="C109" s="113"/>
      <c r="D109" s="137"/>
      <c r="E109" s="119"/>
      <c r="F109" s="120"/>
      <c r="G109" s="81"/>
      <c r="H109" s="82"/>
      <c r="I109" s="81"/>
      <c r="J109" s="126"/>
      <c r="K109" s="177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</row>
    <row r="110" spans="1:24" ht="17.45" customHeight="1" thickBot="1" x14ac:dyDescent="0.25">
      <c r="A110" s="78"/>
      <c r="B110" s="135" t="s">
        <v>43</v>
      </c>
      <c r="C110" s="136" t="s">
        <v>125</v>
      </c>
      <c r="D110" s="130" t="s">
        <v>15</v>
      </c>
      <c r="E110" s="131" t="s">
        <v>16</v>
      </c>
      <c r="F110" s="132" t="s">
        <v>17</v>
      </c>
      <c r="G110" s="132" t="s">
        <v>18</v>
      </c>
      <c r="H110" s="132" t="s">
        <v>7</v>
      </c>
      <c r="I110" s="132" t="s">
        <v>19</v>
      </c>
      <c r="J110" s="133" t="s">
        <v>20</v>
      </c>
      <c r="K110" s="134">
        <f>SUM(I111:I134)</f>
        <v>138187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x14ac:dyDescent="0.25">
      <c r="A111" s="105"/>
      <c r="B111" s="80"/>
      <c r="C111" s="53"/>
      <c r="D111" s="108"/>
      <c r="E111" s="84"/>
      <c r="F111" s="85"/>
      <c r="G111" s="25"/>
      <c r="H111" s="76"/>
      <c r="I111" s="25"/>
      <c r="J111" s="123"/>
      <c r="K111" s="118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x14ac:dyDescent="0.25">
      <c r="A112" s="105"/>
      <c r="B112" s="109" t="s">
        <v>123</v>
      </c>
      <c r="C112" s="113" t="s">
        <v>222</v>
      </c>
      <c r="D112" s="137" t="s">
        <v>25</v>
      </c>
      <c r="E112" s="119">
        <v>6</v>
      </c>
      <c r="F112" s="120"/>
      <c r="G112" s="81"/>
      <c r="H112" s="82"/>
      <c r="I112" s="81"/>
      <c r="J112" s="123"/>
      <c r="K112" s="118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x14ac:dyDescent="0.25">
      <c r="A113" s="105"/>
      <c r="B113" s="109"/>
      <c r="C113" s="113" t="s">
        <v>223</v>
      </c>
      <c r="D113" s="137" t="s">
        <v>25</v>
      </c>
      <c r="E113" s="119">
        <v>2</v>
      </c>
      <c r="F113" s="120"/>
      <c r="G113" s="81"/>
      <c r="H113" s="82"/>
      <c r="I113" s="81"/>
      <c r="J113" s="123"/>
      <c r="K113" s="118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x14ac:dyDescent="0.25">
      <c r="A114" s="105"/>
      <c r="B114" s="109"/>
      <c r="C114" s="113" t="s">
        <v>224</v>
      </c>
      <c r="D114" s="137" t="s">
        <v>25</v>
      </c>
      <c r="E114" s="119">
        <v>2</v>
      </c>
      <c r="F114" s="120"/>
      <c r="G114" s="81"/>
      <c r="H114" s="82"/>
      <c r="I114" s="81"/>
      <c r="J114" s="123"/>
      <c r="K114" s="118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x14ac:dyDescent="0.25">
      <c r="A115" s="105"/>
      <c r="B115" s="109"/>
      <c r="C115" s="113" t="s">
        <v>225</v>
      </c>
      <c r="D115" s="137" t="s">
        <v>25</v>
      </c>
      <c r="E115" s="119">
        <v>8</v>
      </c>
      <c r="F115" s="120"/>
      <c r="G115" s="81"/>
      <c r="H115" s="82"/>
      <c r="I115" s="81"/>
      <c r="J115" s="123"/>
      <c r="K115" s="118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x14ac:dyDescent="0.25">
      <c r="A116" s="105"/>
      <c r="B116" s="109"/>
      <c r="C116" s="113" t="s">
        <v>226</v>
      </c>
      <c r="D116" s="137" t="s">
        <v>25</v>
      </c>
      <c r="E116" s="119">
        <v>15</v>
      </c>
      <c r="F116" s="120"/>
      <c r="G116" s="81"/>
      <c r="H116" s="82"/>
      <c r="I116" s="81"/>
      <c r="J116" s="123"/>
      <c r="K116" s="118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x14ac:dyDescent="0.25">
      <c r="A117" s="105"/>
      <c r="B117" s="109"/>
      <c r="C117" s="113" t="s">
        <v>227</v>
      </c>
      <c r="D117" s="137" t="s">
        <v>41</v>
      </c>
      <c r="E117" s="119">
        <v>33</v>
      </c>
      <c r="F117" s="120"/>
      <c r="G117" s="81"/>
      <c r="H117" s="82"/>
      <c r="I117" s="81"/>
      <c r="J117" s="123"/>
      <c r="K117" s="118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x14ac:dyDescent="0.25">
      <c r="A118" s="105"/>
      <c r="B118" s="109"/>
      <c r="C118" s="113" t="s">
        <v>228</v>
      </c>
      <c r="D118" s="137" t="s">
        <v>41</v>
      </c>
      <c r="E118" s="119">
        <v>23</v>
      </c>
      <c r="F118" s="120"/>
      <c r="G118" s="81"/>
      <c r="H118" s="82"/>
      <c r="I118" s="81"/>
      <c r="J118" s="123"/>
      <c r="K118" s="118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x14ac:dyDescent="0.25">
      <c r="A119" s="105"/>
      <c r="B119" s="109"/>
      <c r="C119" s="113" t="s">
        <v>229</v>
      </c>
      <c r="D119" s="137" t="s">
        <v>41</v>
      </c>
      <c r="E119" s="119">
        <v>46</v>
      </c>
      <c r="F119" s="120"/>
      <c r="G119" s="81"/>
      <c r="H119" s="82"/>
      <c r="I119" s="81"/>
      <c r="J119" s="123"/>
      <c r="K119" s="118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x14ac:dyDescent="0.25">
      <c r="A120" s="105"/>
      <c r="B120" s="109"/>
      <c r="C120" s="113" t="s">
        <v>230</v>
      </c>
      <c r="D120" s="137" t="s">
        <v>41</v>
      </c>
      <c r="E120" s="119">
        <v>6</v>
      </c>
      <c r="F120" s="120"/>
      <c r="G120" s="81"/>
      <c r="H120" s="82"/>
      <c r="I120" s="81"/>
      <c r="J120" s="123"/>
      <c r="K120" s="118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x14ac:dyDescent="0.25">
      <c r="A121" s="105"/>
      <c r="B121" s="109"/>
      <c r="C121" s="113" t="s">
        <v>231</v>
      </c>
      <c r="D121" s="137" t="s">
        <v>41</v>
      </c>
      <c r="E121" s="119">
        <v>102</v>
      </c>
      <c r="F121" s="120"/>
      <c r="G121" s="81"/>
      <c r="H121" s="82"/>
      <c r="I121" s="81"/>
      <c r="J121" s="123"/>
      <c r="K121" s="118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x14ac:dyDescent="0.25">
      <c r="A122" s="105"/>
      <c r="B122" s="109"/>
      <c r="C122" s="113" t="s">
        <v>232</v>
      </c>
      <c r="D122" s="137" t="s">
        <v>41</v>
      </c>
      <c r="E122" s="119">
        <v>3</v>
      </c>
      <c r="F122" s="120"/>
      <c r="G122" s="81"/>
      <c r="H122" s="82"/>
      <c r="I122" s="81"/>
      <c r="J122" s="123"/>
      <c r="K122" s="118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x14ac:dyDescent="0.25">
      <c r="A123" s="105"/>
      <c r="B123" s="109"/>
      <c r="C123" s="113" t="s">
        <v>233</v>
      </c>
      <c r="D123" s="137" t="s">
        <v>41</v>
      </c>
      <c r="E123" s="119">
        <v>6</v>
      </c>
      <c r="F123" s="120"/>
      <c r="G123" s="81"/>
      <c r="H123" s="82"/>
      <c r="I123" s="81"/>
      <c r="J123" s="123"/>
      <c r="K123" s="118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x14ac:dyDescent="0.25">
      <c r="A124" s="105"/>
      <c r="B124" s="109"/>
      <c r="C124" s="113" t="s">
        <v>234</v>
      </c>
      <c r="D124" s="137" t="s">
        <v>41</v>
      </c>
      <c r="E124" s="119">
        <v>33</v>
      </c>
      <c r="F124" s="120"/>
      <c r="G124" s="81"/>
      <c r="H124" s="82"/>
      <c r="I124" s="81"/>
      <c r="J124" s="123"/>
      <c r="K124" s="118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x14ac:dyDescent="0.25">
      <c r="A125" s="105"/>
      <c r="B125" s="109"/>
      <c r="C125" s="113" t="s">
        <v>235</v>
      </c>
      <c r="D125" s="137" t="s">
        <v>41</v>
      </c>
      <c r="E125" s="119">
        <v>39</v>
      </c>
      <c r="F125" s="120"/>
      <c r="G125" s="81"/>
      <c r="H125" s="82"/>
      <c r="I125" s="81"/>
      <c r="J125" s="123"/>
      <c r="K125" s="118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x14ac:dyDescent="0.25">
      <c r="A126" s="105"/>
      <c r="B126" s="109"/>
      <c r="C126" s="113" t="s">
        <v>236</v>
      </c>
      <c r="D126" s="137" t="s">
        <v>41</v>
      </c>
      <c r="E126" s="119">
        <v>24</v>
      </c>
      <c r="F126" s="120"/>
      <c r="G126" s="81"/>
      <c r="H126" s="82"/>
      <c r="I126" s="81"/>
      <c r="J126" s="123"/>
      <c r="K126" s="118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x14ac:dyDescent="0.25">
      <c r="A127" s="105"/>
      <c r="B127" s="109"/>
      <c r="C127" s="113"/>
      <c r="D127" s="137"/>
      <c r="E127" s="119"/>
      <c r="F127" s="120"/>
      <c r="G127" s="81"/>
      <c r="H127" s="82"/>
      <c r="I127" s="81"/>
      <c r="J127" s="123"/>
      <c r="K127" s="118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x14ac:dyDescent="0.25">
      <c r="A128" s="105"/>
      <c r="B128" s="109" t="s">
        <v>126</v>
      </c>
      <c r="C128" s="113" t="s">
        <v>237</v>
      </c>
      <c r="D128" s="137" t="s">
        <v>76</v>
      </c>
      <c r="E128" s="119">
        <v>8.5</v>
      </c>
      <c r="F128" s="120">
        <v>10500</v>
      </c>
      <c r="G128" s="81">
        <f t="shared" ref="G128:G133" si="19">F128*E128</f>
        <v>89250</v>
      </c>
      <c r="H128" s="82">
        <f t="shared" ref="H128:H133" si="20">+G128*$J$11</f>
        <v>29452.5</v>
      </c>
      <c r="I128" s="81">
        <f t="shared" ref="I128:I133" si="21">G128+H128</f>
        <v>118702.5</v>
      </c>
      <c r="J128" s="123"/>
      <c r="K128" s="118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x14ac:dyDescent="0.25">
      <c r="A129" s="105"/>
      <c r="B129" s="109"/>
      <c r="C129" s="113" t="s">
        <v>127</v>
      </c>
      <c r="D129" s="137" t="s">
        <v>76</v>
      </c>
      <c r="E129" s="119">
        <v>0.9</v>
      </c>
      <c r="F129" s="120">
        <v>10500</v>
      </c>
      <c r="G129" s="81">
        <f t="shared" si="19"/>
        <v>9450</v>
      </c>
      <c r="H129" s="82">
        <f t="shared" si="20"/>
        <v>3118.5</v>
      </c>
      <c r="I129" s="81">
        <f t="shared" si="21"/>
        <v>12568.5</v>
      </c>
      <c r="J129" s="123"/>
      <c r="K129" s="118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x14ac:dyDescent="0.25">
      <c r="A130" s="105"/>
      <c r="B130" s="109"/>
      <c r="C130" s="113"/>
      <c r="D130" s="137"/>
      <c r="E130" s="119"/>
      <c r="F130" s="120"/>
      <c r="G130" s="81"/>
      <c r="H130" s="82"/>
      <c r="I130" s="81"/>
      <c r="J130" s="123"/>
      <c r="K130" s="118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x14ac:dyDescent="0.25">
      <c r="A131" s="105"/>
      <c r="B131" s="109" t="s">
        <v>238</v>
      </c>
      <c r="C131" s="113" t="s">
        <v>239</v>
      </c>
      <c r="D131" s="137" t="s">
        <v>22</v>
      </c>
      <c r="E131" s="119">
        <v>1</v>
      </c>
      <c r="F131" s="120">
        <v>1200</v>
      </c>
      <c r="G131" s="81">
        <f t="shared" si="19"/>
        <v>1200</v>
      </c>
      <c r="H131" s="82">
        <f t="shared" si="20"/>
        <v>396</v>
      </c>
      <c r="I131" s="81">
        <f t="shared" si="21"/>
        <v>1596</v>
      </c>
      <c r="J131" s="123"/>
      <c r="K131" s="118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x14ac:dyDescent="0.25">
      <c r="A132" s="105"/>
      <c r="B132" s="109"/>
      <c r="C132" s="113"/>
      <c r="D132" s="137"/>
      <c r="E132" s="119"/>
      <c r="F132" s="120"/>
      <c r="G132" s="81"/>
      <c r="H132" s="82"/>
      <c r="I132" s="81"/>
      <c r="J132" s="123"/>
      <c r="K132" s="118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x14ac:dyDescent="0.25">
      <c r="A133" s="105"/>
      <c r="B133" s="109" t="s">
        <v>240</v>
      </c>
      <c r="C133" s="113" t="s">
        <v>241</v>
      </c>
      <c r="D133" s="137" t="s">
        <v>27</v>
      </c>
      <c r="E133" s="119">
        <v>16</v>
      </c>
      <c r="F133" s="120">
        <v>250</v>
      </c>
      <c r="G133" s="81">
        <f t="shared" si="19"/>
        <v>4000</v>
      </c>
      <c r="H133" s="82">
        <f t="shared" si="20"/>
        <v>1320</v>
      </c>
      <c r="I133" s="81">
        <f t="shared" si="21"/>
        <v>5320</v>
      </c>
      <c r="J133" s="123"/>
      <c r="K133" s="118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thickBot="1" x14ac:dyDescent="0.3">
      <c r="A134" s="105"/>
      <c r="B134" s="122"/>
      <c r="C134" s="113"/>
      <c r="D134" s="137"/>
      <c r="E134" s="119"/>
      <c r="F134" s="120"/>
      <c r="G134" s="81"/>
      <c r="H134" s="82"/>
      <c r="I134" s="81"/>
      <c r="J134" s="123"/>
      <c r="K134" s="118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7.45" customHeight="1" thickBot="1" x14ac:dyDescent="0.25">
      <c r="A135" s="78"/>
      <c r="B135" s="135" t="s">
        <v>44</v>
      </c>
      <c r="C135" s="136" t="s">
        <v>262</v>
      </c>
      <c r="D135" s="130" t="s">
        <v>15</v>
      </c>
      <c r="E135" s="131" t="s">
        <v>16</v>
      </c>
      <c r="F135" s="132" t="s">
        <v>17</v>
      </c>
      <c r="G135" s="132" t="s">
        <v>18</v>
      </c>
      <c r="H135" s="132" t="s">
        <v>7</v>
      </c>
      <c r="I135" s="132" t="s">
        <v>19</v>
      </c>
      <c r="J135" s="133" t="s">
        <v>20</v>
      </c>
      <c r="K135" s="134">
        <f>SUM(I136:I168)</f>
        <v>114085.6045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x14ac:dyDescent="0.25">
      <c r="A136" s="105"/>
      <c r="B136" s="18"/>
      <c r="C136" s="53"/>
      <c r="D136" s="108"/>
      <c r="E136" s="84"/>
      <c r="F136" s="85"/>
      <c r="G136" s="25"/>
      <c r="H136" s="76"/>
      <c r="I136" s="25"/>
      <c r="J136" s="123"/>
      <c r="K136" s="118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x14ac:dyDescent="0.25">
      <c r="A137" s="105"/>
      <c r="B137" s="109" t="s">
        <v>242</v>
      </c>
      <c r="C137" s="113"/>
      <c r="D137" s="137"/>
      <c r="E137" s="119"/>
      <c r="F137" s="120"/>
      <c r="G137" s="81"/>
      <c r="H137" s="82"/>
      <c r="I137" s="81"/>
      <c r="J137" s="123"/>
      <c r="K137" s="118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28.5" x14ac:dyDescent="0.25">
      <c r="A138" s="105"/>
      <c r="B138" s="122" t="s">
        <v>78</v>
      </c>
      <c r="C138" s="113" t="s">
        <v>243</v>
      </c>
      <c r="D138" s="137" t="s">
        <v>261</v>
      </c>
      <c r="E138" s="119">
        <v>1</v>
      </c>
      <c r="F138" s="120">
        <v>725.31</v>
      </c>
      <c r="G138" s="81">
        <f t="shared" ref="G138:G167" si="22">F138*E138</f>
        <v>725.31</v>
      </c>
      <c r="H138" s="82">
        <f t="shared" ref="H138:H167" si="23">+G138*$J$11</f>
        <v>239.35229999999999</v>
      </c>
      <c r="I138" s="81">
        <f t="shared" ref="I138:I167" si="24">G138+H138</f>
        <v>964.66229999999996</v>
      </c>
      <c r="J138" s="123"/>
      <c r="K138" s="118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28.5" x14ac:dyDescent="0.25">
      <c r="A139" s="105"/>
      <c r="B139" s="122"/>
      <c r="C139" s="113" t="s">
        <v>244</v>
      </c>
      <c r="D139" s="137" t="s">
        <v>261</v>
      </c>
      <c r="E139" s="119">
        <v>1</v>
      </c>
      <c r="F139" s="120">
        <v>54.93</v>
      </c>
      <c r="G139" s="81">
        <f t="shared" si="22"/>
        <v>54.93</v>
      </c>
      <c r="H139" s="82">
        <f t="shared" si="23"/>
        <v>18.126899999999999</v>
      </c>
      <c r="I139" s="81">
        <f t="shared" si="24"/>
        <v>73.056899999999999</v>
      </c>
      <c r="J139" s="123"/>
      <c r="K139" s="118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28.5" x14ac:dyDescent="0.25">
      <c r="A140" s="105"/>
      <c r="B140" s="122"/>
      <c r="C140" s="113" t="s">
        <v>245</v>
      </c>
      <c r="D140" s="137" t="s">
        <v>261</v>
      </c>
      <c r="E140" s="119">
        <v>1</v>
      </c>
      <c r="F140" s="120">
        <v>1747.42</v>
      </c>
      <c r="G140" s="81">
        <f t="shared" si="22"/>
        <v>1747.42</v>
      </c>
      <c r="H140" s="82">
        <f t="shared" si="23"/>
        <v>576.6486000000001</v>
      </c>
      <c r="I140" s="81">
        <f t="shared" si="24"/>
        <v>2324.0686000000001</v>
      </c>
      <c r="J140" s="123"/>
      <c r="K140" s="118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x14ac:dyDescent="0.25">
      <c r="A141" s="105"/>
      <c r="B141" s="122"/>
      <c r="C141" s="113" t="s">
        <v>23</v>
      </c>
      <c r="D141" s="137" t="s">
        <v>25</v>
      </c>
      <c r="E141" s="119">
        <v>2</v>
      </c>
      <c r="F141" s="120">
        <v>99</v>
      </c>
      <c r="G141" s="81">
        <f t="shared" si="22"/>
        <v>198</v>
      </c>
      <c r="H141" s="82">
        <f t="shared" si="23"/>
        <v>65.34</v>
      </c>
      <c r="I141" s="81">
        <f t="shared" si="24"/>
        <v>263.34000000000003</v>
      </c>
      <c r="J141" s="123"/>
      <c r="K141" s="118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x14ac:dyDescent="0.25">
      <c r="A142" s="105"/>
      <c r="B142" s="122"/>
      <c r="C142" s="113"/>
      <c r="D142" s="137"/>
      <c r="E142" s="119"/>
      <c r="F142" s="120"/>
      <c r="G142" s="81"/>
      <c r="H142" s="82"/>
      <c r="I142" s="81"/>
      <c r="J142" s="123"/>
      <c r="K142" s="118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28.5" x14ac:dyDescent="0.25">
      <c r="A143" s="105"/>
      <c r="B143" s="122" t="s">
        <v>79</v>
      </c>
      <c r="C143" s="113" t="s">
        <v>246</v>
      </c>
      <c r="D143" s="137" t="s">
        <v>27</v>
      </c>
      <c r="E143" s="119">
        <v>36</v>
      </c>
      <c r="F143" s="120">
        <v>90</v>
      </c>
      <c r="G143" s="81">
        <f t="shared" si="22"/>
        <v>3240</v>
      </c>
      <c r="H143" s="82">
        <f t="shared" si="23"/>
        <v>1069.2</v>
      </c>
      <c r="I143" s="81">
        <f t="shared" si="24"/>
        <v>4309.2</v>
      </c>
      <c r="J143" s="123"/>
      <c r="K143" s="118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5">
      <c r="A144" s="105"/>
      <c r="B144" s="122"/>
      <c r="C144" s="113"/>
      <c r="D144" s="137"/>
      <c r="E144" s="119"/>
      <c r="F144" s="120"/>
      <c r="G144" s="81"/>
      <c r="H144" s="82"/>
      <c r="I144" s="81"/>
      <c r="J144" s="123"/>
      <c r="K144" s="118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x14ac:dyDescent="0.25">
      <c r="A145" s="105"/>
      <c r="B145" s="109" t="s">
        <v>247</v>
      </c>
      <c r="C145" s="113"/>
      <c r="D145" s="137"/>
      <c r="E145" s="119"/>
      <c r="F145" s="120"/>
      <c r="G145" s="81"/>
      <c r="H145" s="82"/>
      <c r="I145" s="81"/>
      <c r="J145" s="123"/>
      <c r="K145" s="118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28.5" x14ac:dyDescent="0.25">
      <c r="A146" s="105"/>
      <c r="B146" s="122" t="s">
        <v>129</v>
      </c>
      <c r="C146" s="113" t="s">
        <v>248</v>
      </c>
      <c r="D146" s="137" t="s">
        <v>261</v>
      </c>
      <c r="E146" s="119">
        <v>1</v>
      </c>
      <c r="F146" s="120">
        <v>12693.76</v>
      </c>
      <c r="G146" s="81">
        <f t="shared" si="22"/>
        <v>12693.76</v>
      </c>
      <c r="H146" s="82">
        <f t="shared" si="23"/>
        <v>4188.9408000000003</v>
      </c>
      <c r="I146" s="81">
        <f t="shared" si="24"/>
        <v>16882.700799999999</v>
      </c>
      <c r="J146" s="123"/>
      <c r="K146" s="118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42.75" x14ac:dyDescent="0.25">
      <c r="A147" s="105"/>
      <c r="B147" s="122"/>
      <c r="C147" s="113" t="s">
        <v>249</v>
      </c>
      <c r="D147" s="137" t="s">
        <v>261</v>
      </c>
      <c r="E147" s="119">
        <v>1</v>
      </c>
      <c r="F147" s="120">
        <v>2968.23</v>
      </c>
      <c r="G147" s="81">
        <f t="shared" si="22"/>
        <v>2968.23</v>
      </c>
      <c r="H147" s="82">
        <f t="shared" si="23"/>
        <v>979.5159000000001</v>
      </c>
      <c r="I147" s="81">
        <f t="shared" si="24"/>
        <v>3947.7458999999999</v>
      </c>
      <c r="J147" s="123"/>
      <c r="K147" s="118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28.5" x14ac:dyDescent="0.25">
      <c r="A148" s="105"/>
      <c r="B148" s="122"/>
      <c r="C148" s="113" t="s">
        <v>250</v>
      </c>
      <c r="D148" s="137" t="s">
        <v>261</v>
      </c>
      <c r="E148" s="119">
        <v>1</v>
      </c>
      <c r="F148" s="120">
        <v>7366.17</v>
      </c>
      <c r="G148" s="81">
        <f t="shared" si="22"/>
        <v>7366.17</v>
      </c>
      <c r="H148" s="82">
        <f t="shared" si="23"/>
        <v>2430.8361</v>
      </c>
      <c r="I148" s="81">
        <f t="shared" si="24"/>
        <v>9797.0061000000005</v>
      </c>
      <c r="J148" s="123"/>
      <c r="K148" s="118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28.5" x14ac:dyDescent="0.25">
      <c r="A149" s="105"/>
      <c r="B149" s="122"/>
      <c r="C149" s="113" t="s">
        <v>251</v>
      </c>
      <c r="D149" s="137" t="s">
        <v>22</v>
      </c>
      <c r="E149" s="119">
        <v>1</v>
      </c>
      <c r="F149" s="120">
        <v>150</v>
      </c>
      <c r="G149" s="81">
        <f t="shared" si="22"/>
        <v>150</v>
      </c>
      <c r="H149" s="82">
        <f t="shared" si="23"/>
        <v>49.5</v>
      </c>
      <c r="I149" s="81">
        <f t="shared" si="24"/>
        <v>199.5</v>
      </c>
      <c r="J149" s="123"/>
      <c r="K149" s="118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x14ac:dyDescent="0.25">
      <c r="A150" s="105"/>
      <c r="B150" s="122"/>
      <c r="C150" s="113" t="s">
        <v>23</v>
      </c>
      <c r="D150" s="137" t="s">
        <v>25</v>
      </c>
      <c r="E150" s="119">
        <v>2</v>
      </c>
      <c r="F150" s="120">
        <v>99</v>
      </c>
      <c r="G150" s="81">
        <f t="shared" si="22"/>
        <v>198</v>
      </c>
      <c r="H150" s="82">
        <f t="shared" si="23"/>
        <v>65.34</v>
      </c>
      <c r="I150" s="81">
        <f t="shared" si="24"/>
        <v>263.34000000000003</v>
      </c>
      <c r="J150" s="123"/>
      <c r="K150" s="118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x14ac:dyDescent="0.25">
      <c r="A151" s="105"/>
      <c r="B151" s="122"/>
      <c r="C151" s="113"/>
      <c r="D151" s="137"/>
      <c r="E151" s="119"/>
      <c r="F151" s="120"/>
      <c r="G151" s="81"/>
      <c r="H151" s="82"/>
      <c r="I151" s="81"/>
      <c r="J151" s="123"/>
      <c r="K151" s="118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42.75" x14ac:dyDescent="0.25">
      <c r="A152" s="105"/>
      <c r="B152" s="122" t="s">
        <v>130</v>
      </c>
      <c r="C152" s="113" t="s">
        <v>252</v>
      </c>
      <c r="D152" s="137" t="s">
        <v>27</v>
      </c>
      <c r="E152" s="119">
        <v>120</v>
      </c>
      <c r="F152" s="120">
        <v>90</v>
      </c>
      <c r="G152" s="81">
        <f t="shared" si="22"/>
        <v>10800</v>
      </c>
      <c r="H152" s="82">
        <f t="shared" si="23"/>
        <v>3564</v>
      </c>
      <c r="I152" s="81">
        <f t="shared" si="24"/>
        <v>14364</v>
      </c>
      <c r="J152" s="123"/>
      <c r="K152" s="118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x14ac:dyDescent="0.25">
      <c r="A153" s="105"/>
      <c r="B153" s="122"/>
      <c r="C153" s="113"/>
      <c r="D153" s="137"/>
      <c r="E153" s="119"/>
      <c r="F153" s="120"/>
      <c r="G153" s="81"/>
      <c r="H153" s="82"/>
      <c r="I153" s="81"/>
      <c r="J153" s="123"/>
      <c r="K153" s="118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42.75" x14ac:dyDescent="0.25">
      <c r="A154" s="105"/>
      <c r="B154" s="122" t="s">
        <v>78</v>
      </c>
      <c r="C154" s="113" t="s">
        <v>253</v>
      </c>
      <c r="D154" s="137" t="s">
        <v>261</v>
      </c>
      <c r="E154" s="119">
        <v>1</v>
      </c>
      <c r="F154" s="120">
        <v>5842.72</v>
      </c>
      <c r="G154" s="81">
        <f t="shared" si="22"/>
        <v>5842.72</v>
      </c>
      <c r="H154" s="82">
        <f t="shared" si="23"/>
        <v>1928.0976000000003</v>
      </c>
      <c r="I154" s="81">
        <f t="shared" si="24"/>
        <v>7770.8176000000003</v>
      </c>
      <c r="J154" s="123"/>
      <c r="K154" s="118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28.5" x14ac:dyDescent="0.25">
      <c r="A155" s="105"/>
      <c r="B155" s="122"/>
      <c r="C155" s="113" t="s">
        <v>254</v>
      </c>
      <c r="D155" s="137" t="s">
        <v>261</v>
      </c>
      <c r="E155" s="119">
        <v>1</v>
      </c>
      <c r="F155" s="120">
        <v>54.93</v>
      </c>
      <c r="G155" s="81">
        <f t="shared" si="22"/>
        <v>54.93</v>
      </c>
      <c r="H155" s="82">
        <f t="shared" si="23"/>
        <v>18.126899999999999</v>
      </c>
      <c r="I155" s="81">
        <f t="shared" si="24"/>
        <v>73.056899999999999</v>
      </c>
      <c r="J155" s="123"/>
      <c r="K155" s="118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28.5" x14ac:dyDescent="0.25">
      <c r="A156" s="105"/>
      <c r="B156" s="122"/>
      <c r="C156" s="113" t="s">
        <v>255</v>
      </c>
      <c r="D156" s="137" t="s">
        <v>261</v>
      </c>
      <c r="E156" s="119">
        <v>1</v>
      </c>
      <c r="F156" s="120">
        <v>4341.83</v>
      </c>
      <c r="G156" s="81">
        <f t="shared" si="22"/>
        <v>4341.83</v>
      </c>
      <c r="H156" s="82">
        <f t="shared" si="23"/>
        <v>1432.8039000000001</v>
      </c>
      <c r="I156" s="81">
        <f t="shared" si="24"/>
        <v>5774.6338999999998</v>
      </c>
      <c r="J156" s="123"/>
      <c r="K156" s="118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x14ac:dyDescent="0.25">
      <c r="A157" s="105"/>
      <c r="B157" s="122"/>
      <c r="C157" s="113" t="s">
        <v>23</v>
      </c>
      <c r="D157" s="137" t="s">
        <v>25</v>
      </c>
      <c r="E157" s="119">
        <v>2</v>
      </c>
      <c r="F157" s="120">
        <v>99</v>
      </c>
      <c r="G157" s="81">
        <f t="shared" si="22"/>
        <v>198</v>
      </c>
      <c r="H157" s="82">
        <f t="shared" si="23"/>
        <v>65.34</v>
      </c>
      <c r="I157" s="81">
        <f t="shared" si="24"/>
        <v>263.34000000000003</v>
      </c>
      <c r="J157" s="123"/>
      <c r="K157" s="118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x14ac:dyDescent="0.25">
      <c r="A158" s="105"/>
      <c r="B158" s="122"/>
      <c r="C158" s="113"/>
      <c r="D158" s="137"/>
      <c r="E158" s="119"/>
      <c r="F158" s="120"/>
      <c r="G158" s="81"/>
      <c r="H158" s="82"/>
      <c r="I158" s="81"/>
      <c r="J158" s="123"/>
      <c r="K158" s="118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28.5" x14ac:dyDescent="0.25">
      <c r="A159" s="105"/>
      <c r="B159" s="122" t="s">
        <v>79</v>
      </c>
      <c r="C159" s="113" t="s">
        <v>256</v>
      </c>
      <c r="D159" s="137" t="s">
        <v>27</v>
      </c>
      <c r="E159" s="119">
        <v>120</v>
      </c>
      <c r="F159" s="120">
        <v>90</v>
      </c>
      <c r="G159" s="81">
        <f t="shared" si="22"/>
        <v>10800</v>
      </c>
      <c r="H159" s="82">
        <f t="shared" si="23"/>
        <v>3564</v>
      </c>
      <c r="I159" s="81">
        <f t="shared" si="24"/>
        <v>14364</v>
      </c>
      <c r="J159" s="123"/>
      <c r="K159" s="118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x14ac:dyDescent="0.25">
      <c r="A160" s="105"/>
      <c r="B160" s="122"/>
      <c r="C160" s="113"/>
      <c r="D160" s="137"/>
      <c r="E160" s="119"/>
      <c r="F160" s="120"/>
      <c r="G160" s="81"/>
      <c r="H160" s="82"/>
      <c r="I160" s="81"/>
      <c r="J160" s="123"/>
      <c r="K160" s="118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28.5" x14ac:dyDescent="0.25">
      <c r="A161" s="105"/>
      <c r="B161" s="122" t="s">
        <v>80</v>
      </c>
      <c r="C161" s="113" t="s">
        <v>257</v>
      </c>
      <c r="D161" s="137" t="s">
        <v>261</v>
      </c>
      <c r="E161" s="119">
        <v>1</v>
      </c>
      <c r="F161" s="120">
        <v>3270.63</v>
      </c>
      <c r="G161" s="81">
        <f t="shared" si="22"/>
        <v>3270.63</v>
      </c>
      <c r="H161" s="82">
        <f t="shared" si="23"/>
        <v>1079.3079</v>
      </c>
      <c r="I161" s="81">
        <f t="shared" si="24"/>
        <v>4349.9378999999999</v>
      </c>
      <c r="J161" s="123"/>
      <c r="K161" s="118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x14ac:dyDescent="0.25">
      <c r="A162" s="105"/>
      <c r="B162" s="122"/>
      <c r="C162" s="113" t="s">
        <v>258</v>
      </c>
      <c r="D162" s="137" t="s">
        <v>5</v>
      </c>
      <c r="E162" s="119">
        <v>135</v>
      </c>
      <c r="F162" s="120">
        <v>85</v>
      </c>
      <c r="G162" s="81">
        <f t="shared" si="22"/>
        <v>11475</v>
      </c>
      <c r="H162" s="82">
        <f t="shared" si="23"/>
        <v>3786.75</v>
      </c>
      <c r="I162" s="81">
        <f t="shared" si="24"/>
        <v>15261.75</v>
      </c>
      <c r="J162" s="123"/>
      <c r="K162" s="118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x14ac:dyDescent="0.25">
      <c r="A163" s="105"/>
      <c r="B163" s="122"/>
      <c r="C163" s="113" t="s">
        <v>128</v>
      </c>
      <c r="D163" s="137" t="s">
        <v>42</v>
      </c>
      <c r="E163" s="119">
        <v>187</v>
      </c>
      <c r="F163" s="120">
        <v>3.56</v>
      </c>
      <c r="G163" s="81">
        <f t="shared" si="22"/>
        <v>665.72</v>
      </c>
      <c r="H163" s="82">
        <f t="shared" si="23"/>
        <v>219.68760000000003</v>
      </c>
      <c r="I163" s="81">
        <f t="shared" si="24"/>
        <v>885.4076</v>
      </c>
      <c r="J163" s="123"/>
      <c r="K163" s="118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28.5" x14ac:dyDescent="0.25">
      <c r="A164" s="105"/>
      <c r="B164" s="122"/>
      <c r="C164" s="113" t="s">
        <v>259</v>
      </c>
      <c r="D164" s="137" t="s">
        <v>22</v>
      </c>
      <c r="E164" s="119">
        <v>1</v>
      </c>
      <c r="F164" s="120">
        <v>150</v>
      </c>
      <c r="G164" s="81">
        <f t="shared" si="22"/>
        <v>150</v>
      </c>
      <c r="H164" s="82">
        <f t="shared" si="23"/>
        <v>49.5</v>
      </c>
      <c r="I164" s="81">
        <f t="shared" si="24"/>
        <v>199.5</v>
      </c>
      <c r="J164" s="123"/>
      <c r="K164" s="118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x14ac:dyDescent="0.25">
      <c r="A165" s="105"/>
      <c r="B165" s="122"/>
      <c r="C165" s="113" t="s">
        <v>23</v>
      </c>
      <c r="D165" s="137" t="s">
        <v>25</v>
      </c>
      <c r="E165" s="119">
        <v>2</v>
      </c>
      <c r="F165" s="120">
        <v>99</v>
      </c>
      <c r="G165" s="81">
        <f t="shared" si="22"/>
        <v>198</v>
      </c>
      <c r="H165" s="82">
        <f t="shared" si="23"/>
        <v>65.34</v>
      </c>
      <c r="I165" s="81">
        <f t="shared" si="24"/>
        <v>263.34000000000003</v>
      </c>
      <c r="J165" s="123"/>
      <c r="K165" s="118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x14ac:dyDescent="0.25">
      <c r="A166" s="105"/>
      <c r="B166" s="122"/>
      <c r="C166" s="113"/>
      <c r="D166" s="137"/>
      <c r="E166" s="119"/>
      <c r="F166" s="120"/>
      <c r="G166" s="81"/>
      <c r="H166" s="82"/>
      <c r="I166" s="81"/>
      <c r="J166" s="123"/>
      <c r="K166" s="118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28.5" x14ac:dyDescent="0.25">
      <c r="A167" s="105"/>
      <c r="B167" s="122" t="s">
        <v>81</v>
      </c>
      <c r="C167" s="113" t="s">
        <v>260</v>
      </c>
      <c r="D167" s="137" t="s">
        <v>27</v>
      </c>
      <c r="E167" s="119">
        <v>96</v>
      </c>
      <c r="F167" s="120">
        <v>90</v>
      </c>
      <c r="G167" s="81">
        <f t="shared" si="22"/>
        <v>8640</v>
      </c>
      <c r="H167" s="82">
        <f t="shared" si="23"/>
        <v>2851.2000000000003</v>
      </c>
      <c r="I167" s="81">
        <f t="shared" si="24"/>
        <v>11491.2</v>
      </c>
      <c r="J167" s="123"/>
      <c r="K167" s="118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thickBot="1" x14ac:dyDescent="0.3">
      <c r="A168" s="105"/>
      <c r="B168" s="18"/>
      <c r="C168" s="53"/>
      <c r="D168" s="108"/>
      <c r="E168" s="84"/>
      <c r="F168" s="85"/>
      <c r="G168" s="25"/>
      <c r="H168" s="76"/>
      <c r="I168" s="25"/>
      <c r="J168" s="123"/>
      <c r="K168" s="118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7.45" customHeight="1" thickBot="1" x14ac:dyDescent="0.25">
      <c r="A169" s="78"/>
      <c r="B169" s="135" t="s">
        <v>45</v>
      </c>
      <c r="C169" s="136" t="s">
        <v>131</v>
      </c>
      <c r="D169" s="130" t="s">
        <v>15</v>
      </c>
      <c r="E169" s="131" t="s">
        <v>16</v>
      </c>
      <c r="F169" s="132" t="s">
        <v>17</v>
      </c>
      <c r="G169" s="132" t="s">
        <v>18</v>
      </c>
      <c r="H169" s="132" t="s">
        <v>7</v>
      </c>
      <c r="I169" s="132" t="s">
        <v>19</v>
      </c>
      <c r="J169" s="133" t="s">
        <v>20</v>
      </c>
      <c r="K169" s="134">
        <f>SUM(I170:I190)</f>
        <v>51883.297340000005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x14ac:dyDescent="0.25">
      <c r="A170" s="105"/>
      <c r="B170" s="18"/>
      <c r="C170" s="113"/>
      <c r="D170" s="108"/>
      <c r="E170" s="84"/>
      <c r="F170" s="85"/>
      <c r="G170" s="25"/>
      <c r="H170" s="76"/>
      <c r="I170" s="25"/>
      <c r="J170" s="123"/>
      <c r="K170" s="118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s="174" customFormat="1" ht="28.5" x14ac:dyDescent="0.2">
      <c r="A171" s="172"/>
      <c r="B171" s="109" t="s">
        <v>124</v>
      </c>
      <c r="C171" s="113" t="s">
        <v>263</v>
      </c>
      <c r="D171" s="137" t="s">
        <v>5</v>
      </c>
      <c r="E171" s="119">
        <v>1.7</v>
      </c>
      <c r="F171" s="120">
        <v>650</v>
      </c>
      <c r="G171" s="81">
        <f t="shared" ref="G171" si="25">F171*E171</f>
        <v>1105</v>
      </c>
      <c r="H171" s="82">
        <f t="shared" ref="H171" si="26">+G171*$J$11</f>
        <v>364.65000000000003</v>
      </c>
      <c r="I171" s="81">
        <f t="shared" ref="I171" si="27">G171+H171</f>
        <v>1469.65</v>
      </c>
      <c r="J171" s="126"/>
      <c r="K171" s="177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</row>
    <row r="172" spans="1:24" s="174" customFormat="1" x14ac:dyDescent="0.2">
      <c r="A172" s="172"/>
      <c r="B172" s="109"/>
      <c r="C172" s="113" t="s">
        <v>264</v>
      </c>
      <c r="D172" s="137" t="s">
        <v>5</v>
      </c>
      <c r="E172" s="119">
        <v>3.7</v>
      </c>
      <c r="F172" s="120">
        <v>650</v>
      </c>
      <c r="G172" s="81">
        <f t="shared" ref="G172:G182" si="28">F172*E172</f>
        <v>2405</v>
      </c>
      <c r="H172" s="82">
        <f t="shared" ref="H172:H182" si="29">+G172*$J$11</f>
        <v>793.65000000000009</v>
      </c>
      <c r="I172" s="81">
        <f t="shared" ref="I172:I182" si="30">G172+H172</f>
        <v>3198.65</v>
      </c>
      <c r="J172" s="126"/>
      <c r="K172" s="177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</row>
    <row r="173" spans="1:24" s="174" customFormat="1" x14ac:dyDescent="0.2">
      <c r="A173" s="172"/>
      <c r="B173" s="109"/>
      <c r="C173" s="113" t="s">
        <v>265</v>
      </c>
      <c r="D173" s="137" t="s">
        <v>5</v>
      </c>
      <c r="E173" s="119">
        <v>4</v>
      </c>
      <c r="F173" s="120">
        <v>650</v>
      </c>
      <c r="G173" s="81">
        <f t="shared" si="28"/>
        <v>2600</v>
      </c>
      <c r="H173" s="82">
        <f t="shared" si="29"/>
        <v>858</v>
      </c>
      <c r="I173" s="81">
        <f t="shared" si="30"/>
        <v>3458</v>
      </c>
      <c r="J173" s="126"/>
      <c r="K173" s="177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</row>
    <row r="174" spans="1:24" s="174" customFormat="1" x14ac:dyDescent="0.2">
      <c r="A174" s="172"/>
      <c r="B174" s="109"/>
      <c r="C174" s="113" t="s">
        <v>266</v>
      </c>
      <c r="D174" s="137" t="s">
        <v>5</v>
      </c>
      <c r="E174" s="119">
        <v>6.4</v>
      </c>
      <c r="F174" s="120">
        <v>650</v>
      </c>
      <c r="G174" s="81">
        <f t="shared" si="28"/>
        <v>4160</v>
      </c>
      <c r="H174" s="82">
        <f t="shared" si="29"/>
        <v>1372.8</v>
      </c>
      <c r="I174" s="81">
        <f t="shared" si="30"/>
        <v>5532.8</v>
      </c>
      <c r="J174" s="126"/>
      <c r="K174" s="177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</row>
    <row r="175" spans="1:24" s="174" customFormat="1" ht="42.75" x14ac:dyDescent="0.2">
      <c r="A175" s="172"/>
      <c r="B175" s="109"/>
      <c r="C175" s="113" t="s">
        <v>267</v>
      </c>
      <c r="D175" s="137" t="s">
        <v>5</v>
      </c>
      <c r="E175" s="119">
        <v>6.4</v>
      </c>
      <c r="F175" s="120">
        <v>650</v>
      </c>
      <c r="G175" s="81">
        <f t="shared" si="28"/>
        <v>4160</v>
      </c>
      <c r="H175" s="82">
        <f t="shared" si="29"/>
        <v>1372.8</v>
      </c>
      <c r="I175" s="81">
        <f t="shared" si="30"/>
        <v>5532.8</v>
      </c>
      <c r="J175" s="126"/>
      <c r="K175" s="177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</row>
    <row r="176" spans="1:24" s="174" customFormat="1" ht="28.5" x14ac:dyDescent="0.2">
      <c r="A176" s="172"/>
      <c r="B176" s="109"/>
      <c r="C176" s="113" t="s">
        <v>268</v>
      </c>
      <c r="D176" s="137" t="s">
        <v>5</v>
      </c>
      <c r="E176" s="119">
        <v>0.4</v>
      </c>
      <c r="F176" s="120">
        <v>650</v>
      </c>
      <c r="G176" s="81">
        <f t="shared" si="28"/>
        <v>260</v>
      </c>
      <c r="H176" s="82">
        <f t="shared" si="29"/>
        <v>85.8</v>
      </c>
      <c r="I176" s="81">
        <f t="shared" si="30"/>
        <v>345.8</v>
      </c>
      <c r="J176" s="126"/>
      <c r="K176" s="177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</row>
    <row r="177" spans="1:24" s="174" customFormat="1" x14ac:dyDescent="0.2">
      <c r="A177" s="172"/>
      <c r="B177" s="109"/>
      <c r="C177" s="113" t="s">
        <v>269</v>
      </c>
      <c r="D177" s="137" t="s">
        <v>5</v>
      </c>
      <c r="E177" s="119">
        <v>4</v>
      </c>
      <c r="F177" s="120">
        <v>650</v>
      </c>
      <c r="G177" s="81">
        <f t="shared" si="28"/>
        <v>2600</v>
      </c>
      <c r="H177" s="82">
        <f t="shared" si="29"/>
        <v>858</v>
      </c>
      <c r="I177" s="81">
        <f t="shared" si="30"/>
        <v>3458</v>
      </c>
      <c r="J177" s="126"/>
      <c r="K177" s="177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</row>
    <row r="178" spans="1:24" s="174" customFormat="1" ht="42.75" x14ac:dyDescent="0.2">
      <c r="A178" s="172"/>
      <c r="B178" s="109"/>
      <c r="C178" s="113" t="s">
        <v>270</v>
      </c>
      <c r="D178" s="137" t="s">
        <v>5</v>
      </c>
      <c r="E178" s="119">
        <v>5.4</v>
      </c>
      <c r="F178" s="120">
        <v>650</v>
      </c>
      <c r="G178" s="81">
        <f t="shared" si="28"/>
        <v>3510.0000000000005</v>
      </c>
      <c r="H178" s="82">
        <f t="shared" si="29"/>
        <v>1158.3000000000002</v>
      </c>
      <c r="I178" s="81">
        <f t="shared" si="30"/>
        <v>4668.3000000000011</v>
      </c>
      <c r="J178" s="126"/>
      <c r="K178" s="177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</row>
    <row r="179" spans="1:24" s="174" customFormat="1" ht="28.5" x14ac:dyDescent="0.2">
      <c r="A179" s="172"/>
      <c r="B179" s="109"/>
      <c r="C179" s="113" t="s">
        <v>271</v>
      </c>
      <c r="D179" s="137" t="s">
        <v>5</v>
      </c>
      <c r="E179" s="119">
        <v>0.4</v>
      </c>
      <c r="F179" s="120">
        <v>650</v>
      </c>
      <c r="G179" s="81">
        <f t="shared" si="28"/>
        <v>260</v>
      </c>
      <c r="H179" s="82">
        <f t="shared" si="29"/>
        <v>85.8</v>
      </c>
      <c r="I179" s="81">
        <f t="shared" si="30"/>
        <v>345.8</v>
      </c>
      <c r="J179" s="126"/>
      <c r="K179" s="177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</row>
    <row r="180" spans="1:24" s="174" customFormat="1" x14ac:dyDescent="0.2">
      <c r="A180" s="172"/>
      <c r="B180" s="109"/>
      <c r="C180" s="113" t="s">
        <v>272</v>
      </c>
      <c r="D180" s="137" t="s">
        <v>5</v>
      </c>
      <c r="E180" s="119">
        <v>2.2000000000000002</v>
      </c>
      <c r="F180" s="120">
        <v>650</v>
      </c>
      <c r="G180" s="81">
        <f t="shared" si="28"/>
        <v>1430.0000000000002</v>
      </c>
      <c r="H180" s="82">
        <f t="shared" si="29"/>
        <v>471.90000000000009</v>
      </c>
      <c r="I180" s="81">
        <f t="shared" si="30"/>
        <v>1901.9000000000003</v>
      </c>
      <c r="J180" s="126"/>
      <c r="K180" s="177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</row>
    <row r="181" spans="1:24" s="174" customFormat="1" x14ac:dyDescent="0.2">
      <c r="A181" s="172"/>
      <c r="B181" s="109"/>
      <c r="C181" s="113" t="s">
        <v>273</v>
      </c>
      <c r="D181" s="137" t="s">
        <v>5</v>
      </c>
      <c r="E181" s="119">
        <v>2.2000000000000002</v>
      </c>
      <c r="F181" s="120">
        <v>650</v>
      </c>
      <c r="G181" s="81">
        <f t="shared" si="28"/>
        <v>1430.0000000000002</v>
      </c>
      <c r="H181" s="82">
        <f t="shared" si="29"/>
        <v>471.90000000000009</v>
      </c>
      <c r="I181" s="81">
        <f t="shared" si="30"/>
        <v>1901.9000000000003</v>
      </c>
      <c r="J181" s="126"/>
      <c r="K181" s="177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</row>
    <row r="182" spans="1:24" s="174" customFormat="1" ht="42.75" x14ac:dyDescent="0.2">
      <c r="A182" s="172"/>
      <c r="B182" s="109"/>
      <c r="C182" s="113" t="s">
        <v>274</v>
      </c>
      <c r="D182" s="137" t="s">
        <v>5</v>
      </c>
      <c r="E182" s="119">
        <v>2.8</v>
      </c>
      <c r="F182" s="120">
        <v>650</v>
      </c>
      <c r="G182" s="81">
        <f t="shared" si="28"/>
        <v>1819.9999999999998</v>
      </c>
      <c r="H182" s="82">
        <f t="shared" si="29"/>
        <v>600.59999999999991</v>
      </c>
      <c r="I182" s="81">
        <f t="shared" si="30"/>
        <v>2420.5999999999995</v>
      </c>
      <c r="J182" s="126"/>
      <c r="K182" s="177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</row>
    <row r="183" spans="1:24" s="174" customFormat="1" ht="28.5" x14ac:dyDescent="0.2">
      <c r="A183" s="172"/>
      <c r="B183" s="109"/>
      <c r="C183" s="113" t="s">
        <v>275</v>
      </c>
      <c r="D183" s="137" t="s">
        <v>5</v>
      </c>
      <c r="E183" s="119">
        <v>2.2000000000000002</v>
      </c>
      <c r="F183" s="120">
        <v>650</v>
      </c>
      <c r="G183" s="81">
        <f t="shared" ref="G183:G189" si="31">F183*E183</f>
        <v>1430.0000000000002</v>
      </c>
      <c r="H183" s="82">
        <f t="shared" ref="H183:H189" si="32">+G183*$J$11</f>
        <v>471.90000000000009</v>
      </c>
      <c r="I183" s="81">
        <f t="shared" ref="I183:I189" si="33">G183+H183</f>
        <v>1901.9000000000003</v>
      </c>
      <c r="J183" s="126"/>
      <c r="K183" s="177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</row>
    <row r="184" spans="1:24" s="174" customFormat="1" x14ac:dyDescent="0.2">
      <c r="A184" s="172"/>
      <c r="B184" s="109"/>
      <c r="C184" s="113" t="s">
        <v>276</v>
      </c>
      <c r="D184" s="137" t="s">
        <v>5</v>
      </c>
      <c r="E184" s="119">
        <v>4.3</v>
      </c>
      <c r="F184" s="120">
        <v>650</v>
      </c>
      <c r="G184" s="81">
        <f t="shared" si="31"/>
        <v>2795</v>
      </c>
      <c r="H184" s="82">
        <f t="shared" si="32"/>
        <v>922.35</v>
      </c>
      <c r="I184" s="81">
        <f t="shared" si="33"/>
        <v>3717.35</v>
      </c>
      <c r="J184" s="126"/>
      <c r="K184" s="177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</row>
    <row r="185" spans="1:24" s="174" customFormat="1" ht="28.5" x14ac:dyDescent="0.2">
      <c r="A185" s="172"/>
      <c r="B185" s="109"/>
      <c r="C185" s="113" t="s">
        <v>277</v>
      </c>
      <c r="D185" s="137" t="s">
        <v>5</v>
      </c>
      <c r="E185" s="119">
        <v>2.6</v>
      </c>
      <c r="F185" s="120">
        <v>738.46</v>
      </c>
      <c r="G185" s="81">
        <f t="shared" si="31"/>
        <v>1919.9960000000001</v>
      </c>
      <c r="H185" s="82">
        <f t="shared" si="32"/>
        <v>633.59868000000006</v>
      </c>
      <c r="I185" s="81">
        <f t="shared" si="33"/>
        <v>2553.5946800000002</v>
      </c>
      <c r="J185" s="126"/>
      <c r="K185" s="177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</row>
    <row r="186" spans="1:24" s="174" customFormat="1" ht="28.5" x14ac:dyDescent="0.2">
      <c r="A186" s="172"/>
      <c r="B186" s="109"/>
      <c r="C186" s="113" t="s">
        <v>278</v>
      </c>
      <c r="D186" s="137" t="s">
        <v>5</v>
      </c>
      <c r="E186" s="119">
        <v>2.7</v>
      </c>
      <c r="F186" s="120">
        <v>727.78</v>
      </c>
      <c r="G186" s="81">
        <f t="shared" si="31"/>
        <v>1965.0060000000001</v>
      </c>
      <c r="H186" s="82">
        <f t="shared" si="32"/>
        <v>648.45198000000005</v>
      </c>
      <c r="I186" s="81">
        <f t="shared" si="33"/>
        <v>2613.4579800000001</v>
      </c>
      <c r="J186" s="126"/>
      <c r="K186" s="177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</row>
    <row r="187" spans="1:24" s="174" customFormat="1" ht="28.5" x14ac:dyDescent="0.2">
      <c r="A187" s="172"/>
      <c r="B187" s="109"/>
      <c r="C187" s="113" t="s">
        <v>279</v>
      </c>
      <c r="D187" s="137" t="s">
        <v>5</v>
      </c>
      <c r="E187" s="119">
        <v>2.6</v>
      </c>
      <c r="F187" s="120">
        <v>738.46</v>
      </c>
      <c r="G187" s="81">
        <f t="shared" si="31"/>
        <v>1919.9960000000001</v>
      </c>
      <c r="H187" s="82">
        <f t="shared" si="32"/>
        <v>633.59868000000006</v>
      </c>
      <c r="I187" s="81">
        <f t="shared" si="33"/>
        <v>2553.5946800000002</v>
      </c>
      <c r="J187" s="126"/>
      <c r="K187" s="177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</row>
    <row r="188" spans="1:24" s="174" customFormat="1" x14ac:dyDescent="0.2">
      <c r="A188" s="172"/>
      <c r="B188" s="109"/>
      <c r="C188" s="113"/>
      <c r="D188" s="137"/>
      <c r="E188" s="119"/>
      <c r="F188" s="120"/>
      <c r="G188" s="81"/>
      <c r="H188" s="82"/>
      <c r="I188" s="81"/>
      <c r="J188" s="126"/>
      <c r="K188" s="177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</row>
    <row r="189" spans="1:24" s="174" customFormat="1" ht="28.5" x14ac:dyDescent="0.2">
      <c r="A189" s="172"/>
      <c r="B189" s="109" t="s">
        <v>132</v>
      </c>
      <c r="C189" s="113" t="s">
        <v>280</v>
      </c>
      <c r="D189" s="137" t="s">
        <v>27</v>
      </c>
      <c r="E189" s="119">
        <v>36</v>
      </c>
      <c r="F189" s="120">
        <v>90</v>
      </c>
      <c r="G189" s="81">
        <f t="shared" si="31"/>
        <v>3240</v>
      </c>
      <c r="H189" s="82">
        <f t="shared" si="32"/>
        <v>1069.2</v>
      </c>
      <c r="I189" s="81">
        <f t="shared" si="33"/>
        <v>4309.2</v>
      </c>
      <c r="J189" s="126"/>
      <c r="K189" s="177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</row>
    <row r="190" spans="1:24" thickBot="1" x14ac:dyDescent="0.25">
      <c r="A190" s="105"/>
      <c r="B190" s="86"/>
      <c r="C190" s="107"/>
      <c r="D190" s="108"/>
      <c r="E190" s="7"/>
      <c r="F190" s="25"/>
      <c r="G190" s="25"/>
      <c r="H190" s="76"/>
      <c r="I190" s="25"/>
      <c r="J190" s="26"/>
      <c r="K190" s="10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7.45" customHeight="1" thickBot="1" x14ac:dyDescent="0.25">
      <c r="A191" s="78"/>
      <c r="B191" s="135" t="s">
        <v>46</v>
      </c>
      <c r="C191" s="136" t="s">
        <v>85</v>
      </c>
      <c r="D191" s="130" t="s">
        <v>15</v>
      </c>
      <c r="E191" s="131" t="s">
        <v>16</v>
      </c>
      <c r="F191" s="132" t="s">
        <v>17</v>
      </c>
      <c r="G191" s="132" t="s">
        <v>18</v>
      </c>
      <c r="H191" s="132" t="s">
        <v>7</v>
      </c>
      <c r="I191" s="132" t="s">
        <v>19</v>
      </c>
      <c r="J191" s="133" t="s">
        <v>20</v>
      </c>
      <c r="K191" s="134">
        <f>SUM(I192:I202)</f>
        <v>30816.1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4.25" x14ac:dyDescent="0.2">
      <c r="A192" s="105"/>
      <c r="B192" s="86"/>
      <c r="C192" s="107"/>
      <c r="D192" s="108"/>
      <c r="E192" s="7"/>
      <c r="F192" s="25"/>
      <c r="G192" s="25"/>
      <c r="H192" s="76"/>
      <c r="I192" s="25"/>
      <c r="J192" s="26"/>
      <c r="K192" s="10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s="174" customFormat="1" x14ac:dyDescent="0.2">
      <c r="A193" s="172"/>
      <c r="B193" s="109" t="s">
        <v>98</v>
      </c>
      <c r="C193" s="113" t="s">
        <v>281</v>
      </c>
      <c r="D193" s="137" t="s">
        <v>5</v>
      </c>
      <c r="E193" s="116">
        <v>132</v>
      </c>
      <c r="F193" s="81">
        <v>15</v>
      </c>
      <c r="G193" s="81">
        <f t="shared" ref="G193:G201" si="34">F193*E193</f>
        <v>1980</v>
      </c>
      <c r="H193" s="82">
        <f t="shared" ref="H193:H201" si="35">+G193*$J$11</f>
        <v>653.4</v>
      </c>
      <c r="I193" s="81">
        <f t="shared" ref="I193:I201" si="36">G193+H193</f>
        <v>2633.4</v>
      </c>
      <c r="J193" s="121"/>
      <c r="K193" s="176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</row>
    <row r="194" spans="1:24" s="174" customFormat="1" x14ac:dyDescent="0.2">
      <c r="A194" s="172"/>
      <c r="B194" s="109"/>
      <c r="C194" s="113" t="s">
        <v>282</v>
      </c>
      <c r="D194" s="137" t="s">
        <v>5</v>
      </c>
      <c r="E194" s="116">
        <v>132</v>
      </c>
      <c r="F194" s="81">
        <v>75</v>
      </c>
      <c r="G194" s="81">
        <f t="shared" si="34"/>
        <v>9900</v>
      </c>
      <c r="H194" s="82">
        <f t="shared" si="35"/>
        <v>3267</v>
      </c>
      <c r="I194" s="81">
        <f t="shared" si="36"/>
        <v>13167</v>
      </c>
      <c r="J194" s="121"/>
      <c r="K194" s="176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</row>
    <row r="195" spans="1:24" s="174" customFormat="1" x14ac:dyDescent="0.2">
      <c r="A195" s="172"/>
      <c r="B195" s="109"/>
      <c r="C195" s="113"/>
      <c r="D195" s="137"/>
      <c r="E195" s="116"/>
      <c r="F195" s="81"/>
      <c r="G195" s="81"/>
      <c r="H195" s="82"/>
      <c r="I195" s="81"/>
      <c r="J195" s="121"/>
      <c r="K195" s="176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</row>
    <row r="196" spans="1:24" s="174" customFormat="1" x14ac:dyDescent="0.2">
      <c r="A196" s="172"/>
      <c r="B196" s="109" t="s">
        <v>148</v>
      </c>
      <c r="C196" s="113" t="s">
        <v>283</v>
      </c>
      <c r="D196" s="137" t="s">
        <v>41</v>
      </c>
      <c r="E196" s="116">
        <v>84</v>
      </c>
      <c r="F196" s="81">
        <v>45</v>
      </c>
      <c r="G196" s="81">
        <f t="shared" si="34"/>
        <v>3780</v>
      </c>
      <c r="H196" s="82">
        <f t="shared" si="35"/>
        <v>1247.4000000000001</v>
      </c>
      <c r="I196" s="81">
        <f t="shared" si="36"/>
        <v>5027.3999999999996</v>
      </c>
      <c r="J196" s="121"/>
      <c r="K196" s="176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</row>
    <row r="197" spans="1:24" s="174" customFormat="1" x14ac:dyDescent="0.2">
      <c r="A197" s="172"/>
      <c r="B197" s="109"/>
      <c r="C197" s="113" t="s">
        <v>284</v>
      </c>
      <c r="D197" s="137" t="s">
        <v>41</v>
      </c>
      <c r="E197" s="116">
        <v>68</v>
      </c>
      <c r="F197" s="81">
        <v>45</v>
      </c>
      <c r="G197" s="81">
        <f t="shared" si="34"/>
        <v>3060</v>
      </c>
      <c r="H197" s="82">
        <f t="shared" si="35"/>
        <v>1009.8000000000001</v>
      </c>
      <c r="I197" s="81">
        <f t="shared" si="36"/>
        <v>4069.8</v>
      </c>
      <c r="J197" s="121"/>
      <c r="K197" s="176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</row>
    <row r="198" spans="1:24" s="174" customFormat="1" x14ac:dyDescent="0.2">
      <c r="A198" s="172"/>
      <c r="B198" s="109"/>
      <c r="C198" s="113"/>
      <c r="D198" s="137"/>
      <c r="E198" s="116"/>
      <c r="F198" s="81"/>
      <c r="G198" s="81"/>
      <c r="H198" s="82"/>
      <c r="I198" s="81"/>
      <c r="J198" s="121"/>
      <c r="K198" s="176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</row>
    <row r="199" spans="1:24" s="174" customFormat="1" x14ac:dyDescent="0.2">
      <c r="A199" s="172"/>
      <c r="B199" s="109" t="s">
        <v>99</v>
      </c>
      <c r="C199" s="113" t="s">
        <v>285</v>
      </c>
      <c r="D199" s="137" t="s">
        <v>41</v>
      </c>
      <c r="E199" s="116">
        <v>24</v>
      </c>
      <c r="F199" s="81">
        <v>150</v>
      </c>
      <c r="G199" s="81">
        <f t="shared" si="34"/>
        <v>3600</v>
      </c>
      <c r="H199" s="82">
        <f t="shared" si="35"/>
        <v>1188</v>
      </c>
      <c r="I199" s="81">
        <f t="shared" si="36"/>
        <v>4788</v>
      </c>
      <c r="J199" s="121"/>
      <c r="K199" s="176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</row>
    <row r="200" spans="1:24" s="174" customFormat="1" x14ac:dyDescent="0.2">
      <c r="A200" s="172"/>
      <c r="B200" s="109"/>
      <c r="C200" s="113" t="s">
        <v>286</v>
      </c>
      <c r="D200" s="137" t="s">
        <v>25</v>
      </c>
      <c r="E200" s="116">
        <v>1</v>
      </c>
      <c r="F200" s="81">
        <v>450</v>
      </c>
      <c r="G200" s="81">
        <f t="shared" si="34"/>
        <v>450</v>
      </c>
      <c r="H200" s="82">
        <f t="shared" si="35"/>
        <v>148.5</v>
      </c>
      <c r="I200" s="81">
        <f t="shared" si="36"/>
        <v>598.5</v>
      </c>
      <c r="J200" s="121"/>
      <c r="K200" s="176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</row>
    <row r="201" spans="1:24" s="174" customFormat="1" x14ac:dyDescent="0.2">
      <c r="A201" s="172"/>
      <c r="B201" s="109"/>
      <c r="C201" s="113" t="s">
        <v>287</v>
      </c>
      <c r="D201" s="137" t="s">
        <v>25</v>
      </c>
      <c r="E201" s="116">
        <v>1</v>
      </c>
      <c r="F201" s="81">
        <v>400</v>
      </c>
      <c r="G201" s="81">
        <f t="shared" si="34"/>
        <v>400</v>
      </c>
      <c r="H201" s="82">
        <f t="shared" si="35"/>
        <v>132</v>
      </c>
      <c r="I201" s="81">
        <f t="shared" si="36"/>
        <v>532</v>
      </c>
      <c r="J201" s="121"/>
      <c r="K201" s="176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</row>
    <row r="202" spans="1:24" thickBot="1" x14ac:dyDescent="0.25">
      <c r="A202" s="105"/>
      <c r="B202" s="86"/>
      <c r="C202" s="107"/>
      <c r="D202" s="108"/>
      <c r="E202" s="116"/>
      <c r="F202" s="81"/>
      <c r="G202" s="81"/>
      <c r="H202" s="82"/>
      <c r="I202" s="81"/>
      <c r="J202" s="26"/>
      <c r="K202" s="10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7.45" customHeight="1" thickBot="1" x14ac:dyDescent="0.25">
      <c r="A203" s="78"/>
      <c r="B203" s="135" t="s">
        <v>47</v>
      </c>
      <c r="C203" s="136" t="s">
        <v>288</v>
      </c>
      <c r="D203" s="130" t="s">
        <v>15</v>
      </c>
      <c r="E203" s="131" t="s">
        <v>16</v>
      </c>
      <c r="F203" s="132" t="s">
        <v>17</v>
      </c>
      <c r="G203" s="132" t="s">
        <v>18</v>
      </c>
      <c r="H203" s="132" t="s">
        <v>7</v>
      </c>
      <c r="I203" s="132" t="s">
        <v>19</v>
      </c>
      <c r="J203" s="133" t="s">
        <v>20</v>
      </c>
      <c r="K203" s="134">
        <f>SUM(I204:I208)</f>
        <v>9842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x14ac:dyDescent="0.2">
      <c r="A204" s="105"/>
      <c r="B204" s="109"/>
      <c r="C204" s="107"/>
      <c r="D204" s="108"/>
      <c r="E204" s="7"/>
      <c r="F204" s="25"/>
      <c r="G204" s="25"/>
      <c r="H204" s="76"/>
      <c r="I204" s="25"/>
      <c r="J204" s="26"/>
      <c r="K204" s="10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s="174" customFormat="1" ht="28.5" x14ac:dyDescent="0.2">
      <c r="A205" s="172"/>
      <c r="B205" s="122"/>
      <c r="C205" s="113" t="s">
        <v>289</v>
      </c>
      <c r="D205" s="137" t="s">
        <v>25</v>
      </c>
      <c r="E205" s="116">
        <v>1</v>
      </c>
      <c r="F205" s="81">
        <v>2200</v>
      </c>
      <c r="G205" s="81">
        <f t="shared" ref="G205" si="37">F205*E205</f>
        <v>2200</v>
      </c>
      <c r="H205" s="82">
        <f t="shared" ref="H205" si="38">+G205*$J$11</f>
        <v>726</v>
      </c>
      <c r="I205" s="81">
        <f t="shared" ref="I205" si="39">G205+H205</f>
        <v>2926</v>
      </c>
      <c r="J205" s="121"/>
      <c r="K205" s="176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</row>
    <row r="206" spans="1:24" s="174" customFormat="1" ht="28.5" x14ac:dyDescent="0.2">
      <c r="A206" s="172"/>
      <c r="B206" s="122"/>
      <c r="C206" s="113" t="s">
        <v>290</v>
      </c>
      <c r="D206" s="137" t="s">
        <v>25</v>
      </c>
      <c r="E206" s="116">
        <v>1</v>
      </c>
      <c r="F206" s="81">
        <v>2200</v>
      </c>
      <c r="G206" s="81">
        <f t="shared" ref="G206:G207" si="40">F206*E206</f>
        <v>2200</v>
      </c>
      <c r="H206" s="82">
        <f t="shared" ref="H206:H207" si="41">+G206*$J$11</f>
        <v>726</v>
      </c>
      <c r="I206" s="81">
        <f t="shared" ref="I206:I207" si="42">G206+H206</f>
        <v>2926</v>
      </c>
      <c r="J206" s="121"/>
      <c r="K206" s="176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</row>
    <row r="207" spans="1:24" s="174" customFormat="1" ht="28.5" x14ac:dyDescent="0.2">
      <c r="A207" s="172"/>
      <c r="B207" s="122"/>
      <c r="C207" s="113" t="s">
        <v>291</v>
      </c>
      <c r="D207" s="137" t="s">
        <v>25</v>
      </c>
      <c r="E207" s="116">
        <v>1</v>
      </c>
      <c r="F207" s="81">
        <v>3000</v>
      </c>
      <c r="G207" s="81">
        <f t="shared" si="40"/>
        <v>3000</v>
      </c>
      <c r="H207" s="82">
        <f t="shared" si="41"/>
        <v>990</v>
      </c>
      <c r="I207" s="81">
        <f t="shared" si="42"/>
        <v>3990</v>
      </c>
      <c r="J207" s="121"/>
      <c r="K207" s="176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</row>
    <row r="208" spans="1:24" ht="15.75" thickBot="1" x14ac:dyDescent="0.25">
      <c r="A208" s="105"/>
      <c r="B208" s="109"/>
      <c r="C208" s="107"/>
      <c r="D208" s="108"/>
      <c r="E208" s="7"/>
      <c r="F208" s="25"/>
      <c r="G208" s="25"/>
      <c r="H208" s="76"/>
      <c r="I208" s="25"/>
      <c r="J208" s="26"/>
      <c r="K208" s="10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7.45" customHeight="1" thickBot="1" x14ac:dyDescent="0.25">
      <c r="A209" s="78"/>
      <c r="B209" s="135" t="s">
        <v>77</v>
      </c>
      <c r="C209" s="136" t="s">
        <v>292</v>
      </c>
      <c r="D209" s="130" t="s">
        <v>15</v>
      </c>
      <c r="E209" s="131" t="s">
        <v>16</v>
      </c>
      <c r="F209" s="132" t="s">
        <v>17</v>
      </c>
      <c r="G209" s="132" t="s">
        <v>18</v>
      </c>
      <c r="H209" s="132" t="s">
        <v>7</v>
      </c>
      <c r="I209" s="132" t="s">
        <v>19</v>
      </c>
      <c r="J209" s="133" t="s">
        <v>20</v>
      </c>
      <c r="K209" s="134">
        <f>SUM(I210:I212)</f>
        <v>9310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x14ac:dyDescent="0.2">
      <c r="A210" s="105"/>
      <c r="B210" s="109"/>
      <c r="C210" s="113"/>
      <c r="D210" s="108"/>
      <c r="E210" s="7"/>
      <c r="F210" s="25"/>
      <c r="G210" s="25"/>
      <c r="H210" s="76"/>
      <c r="I210" s="25"/>
      <c r="J210" s="26"/>
      <c r="K210" s="10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s="174" customFormat="1" ht="28.5" x14ac:dyDescent="0.2">
      <c r="A211" s="172"/>
      <c r="B211" s="122"/>
      <c r="C211" s="113" t="s">
        <v>293</v>
      </c>
      <c r="D211" s="137" t="s">
        <v>5</v>
      </c>
      <c r="E211" s="116">
        <v>35</v>
      </c>
      <c r="F211" s="81">
        <v>200</v>
      </c>
      <c r="G211" s="81">
        <f t="shared" ref="G211" si="43">F211*E211</f>
        <v>7000</v>
      </c>
      <c r="H211" s="82">
        <f t="shared" ref="H211" si="44">+G211*$J$11</f>
        <v>2310</v>
      </c>
      <c r="I211" s="81">
        <f t="shared" ref="I211" si="45">G211+H211</f>
        <v>9310</v>
      </c>
      <c r="J211" s="121"/>
      <c r="K211" s="176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</row>
    <row r="212" spans="1:24" thickBot="1" x14ac:dyDescent="0.25">
      <c r="A212" s="105"/>
      <c r="B212" s="86"/>
      <c r="C212" s="107"/>
      <c r="D212" s="108"/>
      <c r="E212" s="7"/>
      <c r="F212" s="25"/>
      <c r="G212" s="25"/>
      <c r="H212" s="76"/>
      <c r="I212" s="25"/>
      <c r="J212" s="26"/>
      <c r="K212" s="10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thickBot="1" x14ac:dyDescent="0.3">
      <c r="A213" s="78"/>
      <c r="B213" s="138" t="s">
        <v>51</v>
      </c>
      <c r="C213" s="139" t="s">
        <v>294</v>
      </c>
      <c r="D213" s="64" t="s">
        <v>15</v>
      </c>
      <c r="E213" s="65" t="s">
        <v>16</v>
      </c>
      <c r="F213" s="66" t="s">
        <v>17</v>
      </c>
      <c r="G213" s="66" t="s">
        <v>18</v>
      </c>
      <c r="H213" s="66" t="s">
        <v>7</v>
      </c>
      <c r="I213" s="66" t="s">
        <v>19</v>
      </c>
      <c r="J213" s="67" t="s">
        <v>20</v>
      </c>
      <c r="K213" s="79">
        <f>SUM(I214:I227)</f>
        <v>72148.071100000001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x14ac:dyDescent="0.25">
      <c r="A214" s="103"/>
      <c r="B214" s="145"/>
      <c r="C214" s="53"/>
      <c r="D214" s="108"/>
      <c r="E214" s="7"/>
      <c r="F214" s="25"/>
      <c r="G214" s="76"/>
      <c r="H214" s="76"/>
      <c r="I214" s="76"/>
      <c r="J214" s="89"/>
      <c r="K214" s="104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</row>
    <row r="215" spans="1:24" x14ac:dyDescent="0.2">
      <c r="A215" s="103"/>
      <c r="B215" s="127" t="s">
        <v>242</v>
      </c>
      <c r="C215" s="113"/>
      <c r="D215" s="137"/>
      <c r="E215" s="116"/>
      <c r="F215" s="81"/>
      <c r="G215" s="82"/>
      <c r="H215" s="82"/>
      <c r="I215" s="82"/>
      <c r="J215" s="89"/>
      <c r="K215" s="104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</row>
    <row r="216" spans="1:24" ht="28.5" x14ac:dyDescent="0.2">
      <c r="A216" s="103"/>
      <c r="B216" s="143" t="s">
        <v>82</v>
      </c>
      <c r="C216" s="113" t="s">
        <v>295</v>
      </c>
      <c r="D216" s="137" t="s">
        <v>261</v>
      </c>
      <c r="E216" s="116">
        <v>1</v>
      </c>
      <c r="F216" s="81">
        <v>3385.06</v>
      </c>
      <c r="G216" s="82">
        <f t="shared" ref="G216:G226" si="46">F216*E216</f>
        <v>3385.06</v>
      </c>
      <c r="H216" s="82">
        <f t="shared" ref="H216:H226" si="47">+G216*$J$11</f>
        <v>1117.0698</v>
      </c>
      <c r="I216" s="82">
        <f t="shared" ref="I216:I226" si="48">H216+G216</f>
        <v>4502.1297999999997</v>
      </c>
      <c r="J216" s="89"/>
      <c r="K216" s="104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</row>
    <row r="217" spans="1:24" ht="14.25" x14ac:dyDescent="0.2">
      <c r="A217" s="103"/>
      <c r="B217" s="143"/>
      <c r="C217" s="113" t="s">
        <v>23</v>
      </c>
      <c r="D217" s="137" t="s">
        <v>22</v>
      </c>
      <c r="E217" s="116">
        <v>1</v>
      </c>
      <c r="F217" s="81">
        <v>99</v>
      </c>
      <c r="G217" s="82">
        <f t="shared" si="46"/>
        <v>99</v>
      </c>
      <c r="H217" s="82">
        <f t="shared" si="47"/>
        <v>32.67</v>
      </c>
      <c r="I217" s="82">
        <f t="shared" si="48"/>
        <v>131.67000000000002</v>
      </c>
      <c r="J217" s="89"/>
      <c r="K217" s="104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</row>
    <row r="218" spans="1:24" ht="14.25" x14ac:dyDescent="0.2">
      <c r="A218" s="103"/>
      <c r="B218" s="143"/>
      <c r="C218" s="113"/>
      <c r="D218" s="137"/>
      <c r="E218" s="116"/>
      <c r="F218" s="81"/>
      <c r="G218" s="82"/>
      <c r="H218" s="82"/>
      <c r="I218" s="82"/>
      <c r="J218" s="89"/>
      <c r="K218" s="104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</row>
    <row r="219" spans="1:24" ht="42.75" x14ac:dyDescent="0.2">
      <c r="A219" s="103"/>
      <c r="B219" s="143" t="s">
        <v>48</v>
      </c>
      <c r="C219" s="113" t="s">
        <v>296</v>
      </c>
      <c r="D219" s="137" t="s">
        <v>27</v>
      </c>
      <c r="E219" s="116">
        <v>36</v>
      </c>
      <c r="F219" s="81">
        <v>90</v>
      </c>
      <c r="G219" s="82">
        <f t="shared" si="46"/>
        <v>3240</v>
      </c>
      <c r="H219" s="82">
        <f t="shared" si="47"/>
        <v>1069.2</v>
      </c>
      <c r="I219" s="82">
        <f t="shared" si="48"/>
        <v>4309.2</v>
      </c>
      <c r="J219" s="89"/>
      <c r="K219" s="104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</row>
    <row r="220" spans="1:24" ht="14.25" x14ac:dyDescent="0.2">
      <c r="A220" s="103"/>
      <c r="B220" s="143"/>
      <c r="C220" s="113"/>
      <c r="D220" s="137"/>
      <c r="E220" s="116"/>
      <c r="F220" s="81"/>
      <c r="G220" s="82"/>
      <c r="H220" s="82"/>
      <c r="I220" s="82"/>
      <c r="J220" s="89"/>
      <c r="K220" s="104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</row>
    <row r="221" spans="1:24" x14ac:dyDescent="0.2">
      <c r="A221" s="103"/>
      <c r="B221" s="127" t="s">
        <v>247</v>
      </c>
      <c r="C221" s="113"/>
      <c r="D221" s="137"/>
      <c r="E221" s="116"/>
      <c r="F221" s="81"/>
      <c r="G221" s="82"/>
      <c r="H221" s="82"/>
      <c r="I221" s="82"/>
      <c r="J221" s="186"/>
      <c r="K221" s="104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</row>
    <row r="222" spans="1:24" ht="28.5" x14ac:dyDescent="0.2">
      <c r="A222" s="103"/>
      <c r="B222" s="143" t="s">
        <v>82</v>
      </c>
      <c r="C222" s="113" t="s">
        <v>297</v>
      </c>
      <c r="D222" s="137" t="s">
        <v>261</v>
      </c>
      <c r="E222" s="116">
        <v>1</v>
      </c>
      <c r="F222" s="81">
        <v>1188.21</v>
      </c>
      <c r="G222" s="82">
        <f t="shared" si="46"/>
        <v>1188.21</v>
      </c>
      <c r="H222" s="82">
        <f t="shared" si="47"/>
        <v>392.10930000000002</v>
      </c>
      <c r="I222" s="82">
        <f t="shared" si="48"/>
        <v>1580.3193000000001</v>
      </c>
      <c r="J222" s="89"/>
      <c r="K222" s="104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</row>
    <row r="223" spans="1:24" ht="28.5" x14ac:dyDescent="0.2">
      <c r="A223" s="103"/>
      <c r="B223" s="127"/>
      <c r="C223" s="113" t="s">
        <v>298</v>
      </c>
      <c r="D223" s="137" t="s">
        <v>261</v>
      </c>
      <c r="E223" s="116">
        <v>1</v>
      </c>
      <c r="F223" s="81">
        <v>31016.400000000001</v>
      </c>
      <c r="G223" s="82">
        <f t="shared" si="46"/>
        <v>31016.400000000001</v>
      </c>
      <c r="H223" s="82">
        <f t="shared" si="47"/>
        <v>10235.412</v>
      </c>
      <c r="I223" s="82">
        <f t="shared" si="48"/>
        <v>41251.812000000005</v>
      </c>
      <c r="J223" s="89"/>
      <c r="K223" s="104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</row>
    <row r="224" spans="1:24" ht="14.25" x14ac:dyDescent="0.2">
      <c r="A224" s="103"/>
      <c r="B224" s="143"/>
      <c r="C224" s="113" t="s">
        <v>23</v>
      </c>
      <c r="D224" s="137" t="s">
        <v>25</v>
      </c>
      <c r="E224" s="116">
        <v>2</v>
      </c>
      <c r="F224" s="81">
        <v>99</v>
      </c>
      <c r="G224" s="82">
        <f t="shared" si="46"/>
        <v>198</v>
      </c>
      <c r="H224" s="82">
        <f t="shared" si="47"/>
        <v>65.34</v>
      </c>
      <c r="I224" s="82">
        <f t="shared" si="48"/>
        <v>263.34000000000003</v>
      </c>
      <c r="J224" s="89"/>
      <c r="K224" s="104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</row>
    <row r="225" spans="1:24" ht="14.25" x14ac:dyDescent="0.2">
      <c r="A225" s="103"/>
      <c r="B225" s="143"/>
      <c r="C225" s="113"/>
      <c r="D225" s="137"/>
      <c r="E225" s="116"/>
      <c r="F225" s="81"/>
      <c r="G225" s="82"/>
      <c r="H225" s="82"/>
      <c r="I225" s="82"/>
      <c r="J225" s="89"/>
      <c r="K225" s="104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</row>
    <row r="226" spans="1:24" ht="42.75" x14ac:dyDescent="0.2">
      <c r="A226" s="103"/>
      <c r="B226" s="143" t="s">
        <v>300</v>
      </c>
      <c r="C226" s="113" t="s">
        <v>299</v>
      </c>
      <c r="D226" s="137" t="s">
        <v>27</v>
      </c>
      <c r="E226" s="116">
        <v>168</v>
      </c>
      <c r="F226" s="81">
        <v>90</v>
      </c>
      <c r="G226" s="82">
        <f t="shared" si="46"/>
        <v>15120</v>
      </c>
      <c r="H226" s="82">
        <f t="shared" si="47"/>
        <v>4989.6000000000004</v>
      </c>
      <c r="I226" s="82">
        <f t="shared" si="48"/>
        <v>20109.599999999999</v>
      </c>
      <c r="J226" s="89"/>
      <c r="K226" s="104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</row>
    <row r="227" spans="1:24" thickBot="1" x14ac:dyDescent="0.25">
      <c r="A227" s="103"/>
      <c r="B227" s="143"/>
      <c r="C227" s="107"/>
      <c r="D227" s="137"/>
      <c r="E227" s="116"/>
      <c r="F227" s="81"/>
      <c r="G227" s="82"/>
      <c r="H227" s="82"/>
      <c r="I227" s="82"/>
      <c r="J227" s="89"/>
      <c r="K227" s="104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</row>
    <row r="228" spans="1:24" ht="15.75" customHeight="1" thickBot="1" x14ac:dyDescent="0.3">
      <c r="A228" s="78"/>
      <c r="B228" s="138" t="s">
        <v>52</v>
      </c>
      <c r="C228" s="139" t="s">
        <v>301</v>
      </c>
      <c r="D228" s="64" t="s">
        <v>15</v>
      </c>
      <c r="E228" s="65" t="s">
        <v>16</v>
      </c>
      <c r="F228" s="66" t="s">
        <v>17</v>
      </c>
      <c r="G228" s="66" t="s">
        <v>18</v>
      </c>
      <c r="H228" s="66" t="s">
        <v>7</v>
      </c>
      <c r="I228" s="66" t="s">
        <v>19</v>
      </c>
      <c r="J228" s="67" t="s">
        <v>20</v>
      </c>
      <c r="K228" s="79">
        <f>SUM(I229:I244)</f>
        <v>12063.100000000002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x14ac:dyDescent="0.25">
      <c r="A229" s="103"/>
      <c r="B229" s="145"/>
      <c r="C229" s="53"/>
      <c r="D229" s="137"/>
      <c r="E229" s="116"/>
      <c r="F229" s="81"/>
      <c r="G229" s="82"/>
      <c r="H229" s="82"/>
      <c r="I229" s="82"/>
      <c r="J229" s="89"/>
      <c r="K229" s="104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</row>
    <row r="230" spans="1:24" s="174" customFormat="1" x14ac:dyDescent="0.2">
      <c r="A230" s="172"/>
      <c r="B230" s="127" t="s">
        <v>302</v>
      </c>
      <c r="C230" s="113"/>
      <c r="D230" s="137"/>
      <c r="E230" s="116"/>
      <c r="F230" s="81"/>
      <c r="G230" s="82"/>
      <c r="H230" s="82"/>
      <c r="I230" s="82"/>
      <c r="J230" s="126"/>
      <c r="K230" s="125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</row>
    <row r="231" spans="1:24" s="174" customFormat="1" ht="14.25" x14ac:dyDescent="0.2">
      <c r="A231" s="172"/>
      <c r="B231" s="143" t="s">
        <v>101</v>
      </c>
      <c r="C231" s="113" t="s">
        <v>303</v>
      </c>
      <c r="D231" s="137" t="s">
        <v>5</v>
      </c>
      <c r="E231" s="116">
        <v>32</v>
      </c>
      <c r="F231" s="81">
        <v>30</v>
      </c>
      <c r="G231" s="82">
        <f t="shared" ref="G231:G244" si="49">F231*E231</f>
        <v>960</v>
      </c>
      <c r="H231" s="82">
        <f t="shared" ref="H231:H244" si="50">+G231*$J$11</f>
        <v>316.8</v>
      </c>
      <c r="I231" s="82">
        <f t="shared" ref="I231:I244" si="51">H231+G231</f>
        <v>1276.8</v>
      </c>
      <c r="J231" s="126"/>
      <c r="K231" s="125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</row>
    <row r="232" spans="1:24" s="174" customFormat="1" ht="14.25" x14ac:dyDescent="0.2">
      <c r="A232" s="172"/>
      <c r="B232" s="143"/>
      <c r="C232" s="113"/>
      <c r="D232" s="137"/>
      <c r="E232" s="116"/>
      <c r="F232" s="81"/>
      <c r="G232" s="82"/>
      <c r="H232" s="82"/>
      <c r="I232" s="82"/>
      <c r="J232" s="126"/>
      <c r="K232" s="125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</row>
    <row r="233" spans="1:24" s="174" customFormat="1" ht="14.25" x14ac:dyDescent="0.2">
      <c r="A233" s="172"/>
      <c r="B233" s="143" t="s">
        <v>100</v>
      </c>
      <c r="C233" s="113" t="s">
        <v>149</v>
      </c>
      <c r="D233" s="137" t="s">
        <v>5</v>
      </c>
      <c r="E233" s="116">
        <v>10</v>
      </c>
      <c r="F233" s="81">
        <v>35</v>
      </c>
      <c r="G233" s="82">
        <f t="shared" si="49"/>
        <v>350</v>
      </c>
      <c r="H233" s="82">
        <f t="shared" si="50"/>
        <v>115.5</v>
      </c>
      <c r="I233" s="82">
        <f t="shared" si="51"/>
        <v>465.5</v>
      </c>
      <c r="J233" s="126"/>
      <c r="K233" s="125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</row>
    <row r="234" spans="1:24" s="174" customFormat="1" ht="14.25" x14ac:dyDescent="0.2">
      <c r="A234" s="172"/>
      <c r="B234" s="143"/>
      <c r="C234" s="113" t="s">
        <v>304</v>
      </c>
      <c r="D234" s="137" t="s">
        <v>5</v>
      </c>
      <c r="E234" s="116">
        <v>10</v>
      </c>
      <c r="F234" s="81">
        <v>30</v>
      </c>
      <c r="G234" s="82">
        <f t="shared" si="49"/>
        <v>300</v>
      </c>
      <c r="H234" s="82">
        <f t="shared" si="50"/>
        <v>99</v>
      </c>
      <c r="I234" s="82">
        <f t="shared" si="51"/>
        <v>399</v>
      </c>
      <c r="J234" s="126"/>
      <c r="K234" s="125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</row>
    <row r="235" spans="1:24" s="174" customFormat="1" ht="14.25" x14ac:dyDescent="0.2">
      <c r="A235" s="172"/>
      <c r="B235" s="143"/>
      <c r="C235" s="113" t="s">
        <v>150</v>
      </c>
      <c r="D235" s="137" t="s">
        <v>42</v>
      </c>
      <c r="E235" s="116">
        <v>13</v>
      </c>
      <c r="F235" s="81">
        <v>20</v>
      </c>
      <c r="G235" s="82">
        <f t="shared" si="49"/>
        <v>260</v>
      </c>
      <c r="H235" s="82">
        <f t="shared" si="50"/>
        <v>85.8</v>
      </c>
      <c r="I235" s="82">
        <f t="shared" si="51"/>
        <v>345.8</v>
      </c>
      <c r="J235" s="126"/>
      <c r="K235" s="125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</row>
    <row r="236" spans="1:24" s="174" customFormat="1" ht="14.25" x14ac:dyDescent="0.2">
      <c r="A236" s="172"/>
      <c r="B236" s="143"/>
      <c r="C236" s="113"/>
      <c r="D236" s="137"/>
      <c r="E236" s="116"/>
      <c r="F236" s="81"/>
      <c r="G236" s="82"/>
      <c r="H236" s="82"/>
      <c r="I236" s="82"/>
      <c r="J236" s="126"/>
      <c r="K236" s="125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</row>
    <row r="237" spans="1:24" s="174" customFormat="1" x14ac:dyDescent="0.2">
      <c r="A237" s="172"/>
      <c r="B237" s="127" t="s">
        <v>247</v>
      </c>
      <c r="C237" s="113"/>
      <c r="D237" s="137"/>
      <c r="E237" s="116"/>
      <c r="F237" s="81"/>
      <c r="G237" s="82"/>
      <c r="H237" s="82"/>
      <c r="I237" s="82"/>
      <c r="J237" s="126"/>
      <c r="K237" s="125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</row>
    <row r="238" spans="1:24" s="174" customFormat="1" ht="14.25" x14ac:dyDescent="0.2">
      <c r="A238" s="172"/>
      <c r="B238" s="143" t="s">
        <v>101</v>
      </c>
      <c r="C238" s="113" t="s">
        <v>133</v>
      </c>
      <c r="D238" s="137" t="s">
        <v>5</v>
      </c>
      <c r="E238" s="116">
        <v>172</v>
      </c>
      <c r="F238" s="81">
        <v>25</v>
      </c>
      <c r="G238" s="82">
        <f t="shared" si="49"/>
        <v>4300</v>
      </c>
      <c r="H238" s="82">
        <f t="shared" si="50"/>
        <v>1419</v>
      </c>
      <c r="I238" s="82">
        <f t="shared" si="51"/>
        <v>5719</v>
      </c>
      <c r="J238" s="126"/>
      <c r="K238" s="125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</row>
    <row r="239" spans="1:24" s="174" customFormat="1" ht="28.5" x14ac:dyDescent="0.2">
      <c r="A239" s="172"/>
      <c r="B239" s="143"/>
      <c r="C239" s="113" t="s">
        <v>305</v>
      </c>
      <c r="D239" s="137" t="s">
        <v>5</v>
      </c>
      <c r="E239" s="116">
        <v>36</v>
      </c>
      <c r="F239" s="81">
        <v>30</v>
      </c>
      <c r="G239" s="82">
        <f t="shared" si="49"/>
        <v>1080</v>
      </c>
      <c r="H239" s="82">
        <f t="shared" si="50"/>
        <v>356.40000000000003</v>
      </c>
      <c r="I239" s="82">
        <f t="shared" si="51"/>
        <v>1436.4</v>
      </c>
      <c r="J239" s="126"/>
      <c r="K239" s="125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</row>
    <row r="240" spans="1:24" s="174" customFormat="1" ht="14.25" x14ac:dyDescent="0.2">
      <c r="A240" s="172"/>
      <c r="B240" s="143"/>
      <c r="C240" s="113"/>
      <c r="D240" s="137"/>
      <c r="E240" s="116"/>
      <c r="F240" s="81"/>
      <c r="G240" s="82"/>
      <c r="H240" s="82"/>
      <c r="I240" s="82"/>
      <c r="J240" s="126"/>
      <c r="K240" s="125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</row>
    <row r="241" spans="1:24" s="174" customFormat="1" ht="14.25" x14ac:dyDescent="0.2">
      <c r="A241" s="172"/>
      <c r="B241" s="143" t="s">
        <v>100</v>
      </c>
      <c r="C241" s="113" t="s">
        <v>306</v>
      </c>
      <c r="D241" s="137" t="s">
        <v>5</v>
      </c>
      <c r="E241" s="116">
        <v>4</v>
      </c>
      <c r="F241" s="81">
        <v>35</v>
      </c>
      <c r="G241" s="82">
        <f t="shared" si="49"/>
        <v>140</v>
      </c>
      <c r="H241" s="82">
        <f t="shared" si="50"/>
        <v>46.2</v>
      </c>
      <c r="I241" s="82">
        <f t="shared" si="51"/>
        <v>186.2</v>
      </c>
      <c r="J241" s="126"/>
      <c r="K241" s="125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</row>
    <row r="242" spans="1:24" s="174" customFormat="1" ht="14.25" x14ac:dyDescent="0.2">
      <c r="A242" s="172"/>
      <c r="B242" s="143"/>
      <c r="C242" s="113" t="s">
        <v>304</v>
      </c>
      <c r="D242" s="137" t="s">
        <v>5</v>
      </c>
      <c r="E242" s="116">
        <v>4</v>
      </c>
      <c r="F242" s="81">
        <v>30</v>
      </c>
      <c r="G242" s="82">
        <f t="shared" si="49"/>
        <v>120</v>
      </c>
      <c r="H242" s="82">
        <f t="shared" si="50"/>
        <v>39.6</v>
      </c>
      <c r="I242" s="82">
        <f t="shared" si="51"/>
        <v>159.6</v>
      </c>
      <c r="J242" s="126"/>
      <c r="K242" s="125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</row>
    <row r="243" spans="1:24" s="174" customFormat="1" ht="14.25" x14ac:dyDescent="0.2">
      <c r="A243" s="172"/>
      <c r="B243" s="143"/>
      <c r="C243" s="113" t="s">
        <v>307</v>
      </c>
      <c r="D243" s="137" t="s">
        <v>42</v>
      </c>
      <c r="E243" s="116">
        <v>6</v>
      </c>
      <c r="F243" s="81">
        <v>20</v>
      </c>
      <c r="G243" s="82">
        <f t="shared" si="49"/>
        <v>120</v>
      </c>
      <c r="H243" s="82">
        <f t="shared" si="50"/>
        <v>39.6</v>
      </c>
      <c r="I243" s="82">
        <f t="shared" si="51"/>
        <v>159.6</v>
      </c>
      <c r="J243" s="126"/>
      <c r="K243" s="125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</row>
    <row r="244" spans="1:24" s="174" customFormat="1" x14ac:dyDescent="0.2">
      <c r="A244" s="172"/>
      <c r="B244" s="127"/>
      <c r="C244" s="113" t="s">
        <v>308</v>
      </c>
      <c r="D244" s="137" t="s">
        <v>41</v>
      </c>
      <c r="E244" s="116">
        <v>72</v>
      </c>
      <c r="F244" s="81">
        <v>20</v>
      </c>
      <c r="G244" s="82">
        <f t="shared" si="49"/>
        <v>1440</v>
      </c>
      <c r="H244" s="82">
        <f t="shared" si="50"/>
        <v>475.20000000000005</v>
      </c>
      <c r="I244" s="82">
        <f t="shared" si="51"/>
        <v>1915.2</v>
      </c>
      <c r="J244" s="126"/>
      <c r="K244" s="125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</row>
    <row r="245" spans="1:24" s="174" customFormat="1" thickBot="1" x14ac:dyDescent="0.25">
      <c r="A245" s="172"/>
      <c r="B245" s="143"/>
      <c r="C245" s="107"/>
      <c r="D245" s="137"/>
      <c r="E245" s="116"/>
      <c r="F245" s="81"/>
      <c r="G245" s="82"/>
      <c r="H245" s="82"/>
      <c r="I245" s="82"/>
      <c r="J245" s="126"/>
      <c r="K245" s="125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</row>
    <row r="246" spans="1:24" ht="15.75" customHeight="1" thickBot="1" x14ac:dyDescent="0.3">
      <c r="A246" s="78"/>
      <c r="B246" s="138" t="s">
        <v>54</v>
      </c>
      <c r="C246" s="139" t="s">
        <v>66</v>
      </c>
      <c r="D246" s="64" t="s">
        <v>15</v>
      </c>
      <c r="E246" s="65" t="s">
        <v>16</v>
      </c>
      <c r="F246" s="66" t="s">
        <v>17</v>
      </c>
      <c r="G246" s="66" t="s">
        <v>18</v>
      </c>
      <c r="H246" s="66" t="s">
        <v>7</v>
      </c>
      <c r="I246" s="66" t="s">
        <v>19</v>
      </c>
      <c r="J246" s="67" t="s">
        <v>20</v>
      </c>
      <c r="K246" s="79">
        <f>SUM(I247:I261)</f>
        <v>7847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x14ac:dyDescent="0.25">
      <c r="A247" s="103"/>
      <c r="B247" s="145"/>
      <c r="C247" s="53"/>
      <c r="D247" s="108"/>
      <c r="E247" s="7"/>
      <c r="F247" s="25"/>
      <c r="G247" s="76"/>
      <c r="H247" s="76"/>
      <c r="I247" s="76"/>
      <c r="J247" s="89"/>
      <c r="K247" s="104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</row>
    <row r="248" spans="1:24" s="174" customFormat="1" x14ac:dyDescent="0.2">
      <c r="A248" s="172"/>
      <c r="B248" s="127" t="s">
        <v>242</v>
      </c>
      <c r="C248" s="113"/>
      <c r="D248" s="137"/>
      <c r="E248" s="116"/>
      <c r="F248" s="81"/>
      <c r="G248" s="82"/>
      <c r="H248" s="82"/>
      <c r="I248" s="82"/>
      <c r="J248" s="121"/>
      <c r="K248" s="125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</row>
    <row r="249" spans="1:24" s="174" customFormat="1" ht="14.25" x14ac:dyDescent="0.2">
      <c r="A249" s="172"/>
      <c r="B249" s="143" t="s">
        <v>309</v>
      </c>
      <c r="C249" s="113" t="s">
        <v>67</v>
      </c>
      <c r="D249" s="137" t="s">
        <v>41</v>
      </c>
      <c r="E249" s="116">
        <v>5</v>
      </c>
      <c r="F249" s="81">
        <v>45</v>
      </c>
      <c r="G249" s="82">
        <f t="shared" ref="G249:G260" si="52">F249*E249</f>
        <v>225</v>
      </c>
      <c r="H249" s="82">
        <f t="shared" ref="H249:H260" si="53">+G249*$J$11</f>
        <v>74.25</v>
      </c>
      <c r="I249" s="82">
        <f t="shared" ref="I249:I260" si="54">H249+G249</f>
        <v>299.25</v>
      </c>
      <c r="J249" s="121"/>
      <c r="K249" s="125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</row>
    <row r="250" spans="1:24" s="174" customFormat="1" ht="14.25" x14ac:dyDescent="0.2">
      <c r="A250" s="172"/>
      <c r="B250" s="143"/>
      <c r="C250" s="113" t="s">
        <v>68</v>
      </c>
      <c r="D250" s="137" t="s">
        <v>5</v>
      </c>
      <c r="E250" s="116">
        <v>10</v>
      </c>
      <c r="F250" s="81">
        <v>95</v>
      </c>
      <c r="G250" s="82">
        <f t="shared" si="52"/>
        <v>950</v>
      </c>
      <c r="H250" s="82">
        <f t="shared" si="53"/>
        <v>313.5</v>
      </c>
      <c r="I250" s="82">
        <f t="shared" si="54"/>
        <v>1263.5</v>
      </c>
      <c r="J250" s="121"/>
      <c r="K250" s="125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</row>
    <row r="251" spans="1:24" s="174" customFormat="1" ht="14.25" x14ac:dyDescent="0.2">
      <c r="A251" s="172"/>
      <c r="B251" s="143"/>
      <c r="C251" s="113" t="s">
        <v>69</v>
      </c>
      <c r="D251" s="137" t="s">
        <v>41</v>
      </c>
      <c r="E251" s="116">
        <v>8</v>
      </c>
      <c r="F251" s="81">
        <v>25</v>
      </c>
      <c r="G251" s="82">
        <f t="shared" ref="G251:G252" si="55">F251*E251</f>
        <v>200</v>
      </c>
      <c r="H251" s="82">
        <f t="shared" ref="H251:H252" si="56">+G251*$J$11</f>
        <v>66</v>
      </c>
      <c r="I251" s="82">
        <f t="shared" ref="I251:I252" si="57">H251+G251</f>
        <v>266</v>
      </c>
      <c r="J251" s="121"/>
      <c r="K251" s="125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</row>
    <row r="252" spans="1:24" s="174" customFormat="1" ht="14.25" x14ac:dyDescent="0.2">
      <c r="A252" s="172"/>
      <c r="B252" s="143"/>
      <c r="C252" s="113" t="s">
        <v>70</v>
      </c>
      <c r="D252" s="137" t="s">
        <v>5</v>
      </c>
      <c r="E252" s="116">
        <v>8</v>
      </c>
      <c r="F252" s="81">
        <v>40</v>
      </c>
      <c r="G252" s="82">
        <f t="shared" si="55"/>
        <v>320</v>
      </c>
      <c r="H252" s="82">
        <f t="shared" si="56"/>
        <v>105.60000000000001</v>
      </c>
      <c r="I252" s="82">
        <f t="shared" si="57"/>
        <v>425.6</v>
      </c>
      <c r="J252" s="121"/>
      <c r="K252" s="125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</row>
    <row r="253" spans="1:24" s="174" customFormat="1" ht="14.25" x14ac:dyDescent="0.2">
      <c r="A253" s="172"/>
      <c r="B253" s="143"/>
      <c r="C253" s="113"/>
      <c r="D253" s="137"/>
      <c r="E253" s="116"/>
      <c r="F253" s="81"/>
      <c r="G253" s="82"/>
      <c r="H253" s="82"/>
      <c r="I253" s="82"/>
      <c r="J253" s="121"/>
      <c r="K253" s="125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</row>
    <row r="254" spans="1:24" s="174" customFormat="1" x14ac:dyDescent="0.2">
      <c r="A254" s="172"/>
      <c r="B254" s="127" t="s">
        <v>247</v>
      </c>
      <c r="C254" s="113"/>
      <c r="D254" s="137"/>
      <c r="E254" s="116"/>
      <c r="F254" s="81"/>
      <c r="G254" s="82"/>
      <c r="H254" s="82"/>
      <c r="I254" s="82"/>
      <c r="J254" s="121"/>
      <c r="K254" s="125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</row>
    <row r="255" spans="1:24" s="174" customFormat="1" ht="14.25" x14ac:dyDescent="0.2">
      <c r="A255" s="172"/>
      <c r="B255" s="143" t="s">
        <v>151</v>
      </c>
      <c r="C255" s="113" t="s">
        <v>67</v>
      </c>
      <c r="D255" s="137" t="s">
        <v>41</v>
      </c>
      <c r="E255" s="116">
        <v>4</v>
      </c>
      <c r="F255" s="81">
        <v>45</v>
      </c>
      <c r="G255" s="82">
        <f t="shared" si="52"/>
        <v>180</v>
      </c>
      <c r="H255" s="82">
        <f t="shared" si="53"/>
        <v>59.400000000000006</v>
      </c>
      <c r="I255" s="82">
        <f t="shared" si="54"/>
        <v>239.4</v>
      </c>
      <c r="J255" s="121"/>
      <c r="K255" s="125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</row>
    <row r="256" spans="1:24" s="174" customFormat="1" x14ac:dyDescent="0.2">
      <c r="A256" s="172"/>
      <c r="B256" s="127"/>
      <c r="C256" s="113" t="s">
        <v>68</v>
      </c>
      <c r="D256" s="137" t="s">
        <v>5</v>
      </c>
      <c r="E256" s="116">
        <v>8</v>
      </c>
      <c r="F256" s="81">
        <v>95</v>
      </c>
      <c r="G256" s="82">
        <f t="shared" si="52"/>
        <v>760</v>
      </c>
      <c r="H256" s="82">
        <f t="shared" si="53"/>
        <v>250.8</v>
      </c>
      <c r="I256" s="82">
        <f t="shared" si="54"/>
        <v>1010.8</v>
      </c>
      <c r="J256" s="121"/>
      <c r="K256" s="125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</row>
    <row r="257" spans="1:24" s="174" customFormat="1" ht="14.25" x14ac:dyDescent="0.2">
      <c r="A257" s="172"/>
      <c r="B257" s="143"/>
      <c r="C257" s="113" t="s">
        <v>69</v>
      </c>
      <c r="D257" s="137" t="s">
        <v>41</v>
      </c>
      <c r="E257" s="116">
        <v>6</v>
      </c>
      <c r="F257" s="81">
        <v>25</v>
      </c>
      <c r="G257" s="82">
        <f t="shared" si="52"/>
        <v>150</v>
      </c>
      <c r="H257" s="82">
        <f t="shared" si="53"/>
        <v>49.5</v>
      </c>
      <c r="I257" s="82">
        <f t="shared" si="54"/>
        <v>199.5</v>
      </c>
      <c r="J257" s="121"/>
      <c r="K257" s="125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</row>
    <row r="258" spans="1:24" s="174" customFormat="1" ht="14.25" x14ac:dyDescent="0.2">
      <c r="A258" s="172"/>
      <c r="B258" s="143"/>
      <c r="C258" s="113" t="s">
        <v>70</v>
      </c>
      <c r="D258" s="137" t="s">
        <v>5</v>
      </c>
      <c r="E258" s="116">
        <v>9</v>
      </c>
      <c r="F258" s="81">
        <v>40</v>
      </c>
      <c r="G258" s="82">
        <f t="shared" si="52"/>
        <v>360</v>
      </c>
      <c r="H258" s="82">
        <f t="shared" si="53"/>
        <v>118.80000000000001</v>
      </c>
      <c r="I258" s="82">
        <f t="shared" si="54"/>
        <v>478.8</v>
      </c>
      <c r="J258" s="121"/>
      <c r="K258" s="125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</row>
    <row r="259" spans="1:24" s="174" customFormat="1" ht="14.25" x14ac:dyDescent="0.2">
      <c r="A259" s="172"/>
      <c r="B259" s="143"/>
      <c r="C259" s="113"/>
      <c r="D259" s="137"/>
      <c r="E259" s="116"/>
      <c r="F259" s="81"/>
      <c r="G259" s="82"/>
      <c r="H259" s="82"/>
      <c r="I259" s="82"/>
      <c r="J259" s="121"/>
      <c r="K259" s="125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</row>
    <row r="260" spans="1:24" s="174" customFormat="1" ht="14.25" x14ac:dyDescent="0.2">
      <c r="A260" s="172"/>
      <c r="B260" s="143" t="s">
        <v>310</v>
      </c>
      <c r="C260" s="113" t="s">
        <v>68</v>
      </c>
      <c r="D260" s="137" t="s">
        <v>5</v>
      </c>
      <c r="E260" s="116">
        <v>29</v>
      </c>
      <c r="F260" s="81">
        <v>95</v>
      </c>
      <c r="G260" s="82">
        <f t="shared" si="52"/>
        <v>2755</v>
      </c>
      <c r="H260" s="82">
        <f t="shared" si="53"/>
        <v>909.15000000000009</v>
      </c>
      <c r="I260" s="82">
        <f t="shared" si="54"/>
        <v>3664.15</v>
      </c>
      <c r="J260" s="121"/>
      <c r="K260" s="125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</row>
    <row r="261" spans="1:24" s="174" customFormat="1" ht="15.75" thickBot="1" x14ac:dyDescent="0.25">
      <c r="A261" s="172"/>
      <c r="B261" s="127"/>
      <c r="C261" s="113"/>
      <c r="D261" s="137"/>
      <c r="E261" s="116"/>
      <c r="F261" s="81"/>
      <c r="G261" s="82"/>
      <c r="H261" s="82"/>
      <c r="I261" s="82"/>
      <c r="J261" s="121"/>
      <c r="K261" s="125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</row>
    <row r="262" spans="1:24" ht="15.75" customHeight="1" thickBot="1" x14ac:dyDescent="0.3">
      <c r="A262" s="78"/>
      <c r="B262" s="138" t="s">
        <v>55</v>
      </c>
      <c r="C262" s="139" t="s">
        <v>71</v>
      </c>
      <c r="D262" s="64" t="s">
        <v>15</v>
      </c>
      <c r="E262" s="65" t="s">
        <v>16</v>
      </c>
      <c r="F262" s="66" t="s">
        <v>17</v>
      </c>
      <c r="G262" s="66" t="s">
        <v>18</v>
      </c>
      <c r="H262" s="66" t="s">
        <v>7</v>
      </c>
      <c r="I262" s="66" t="s">
        <v>19</v>
      </c>
      <c r="J262" s="67" t="s">
        <v>20</v>
      </c>
      <c r="K262" s="79">
        <f>SUM(I263:I275)</f>
        <v>10376.66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x14ac:dyDescent="0.25">
      <c r="A263" s="103"/>
      <c r="B263" s="146"/>
      <c r="C263" s="107"/>
      <c r="D263" s="108"/>
      <c r="E263" s="7"/>
      <c r="F263" s="87"/>
      <c r="G263" s="88"/>
      <c r="H263" s="88"/>
      <c r="I263" s="88"/>
      <c r="J263" s="89"/>
      <c r="K263" s="104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</row>
    <row r="264" spans="1:24" x14ac:dyDescent="0.2">
      <c r="A264" s="103"/>
      <c r="B264" s="127" t="s">
        <v>242</v>
      </c>
      <c r="C264" s="113"/>
      <c r="D264" s="137"/>
      <c r="E264" s="116"/>
      <c r="F264" s="81"/>
      <c r="G264" s="82"/>
      <c r="H264" s="82"/>
      <c r="I264" s="82"/>
      <c r="J264" s="89"/>
      <c r="K264" s="104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</row>
    <row r="265" spans="1:24" ht="14.25" x14ac:dyDescent="0.2">
      <c r="A265" s="103"/>
      <c r="B265" s="143" t="s">
        <v>309</v>
      </c>
      <c r="C265" s="113" t="s">
        <v>311</v>
      </c>
      <c r="D265" s="137" t="s">
        <v>5</v>
      </c>
      <c r="E265" s="116">
        <v>10</v>
      </c>
      <c r="F265" s="81">
        <v>66</v>
      </c>
      <c r="G265" s="82">
        <f t="shared" ref="G265:G274" si="58">F265*E265</f>
        <v>660</v>
      </c>
      <c r="H265" s="82">
        <f t="shared" ref="H265:H274" si="59">+G265*$J$11</f>
        <v>217.8</v>
      </c>
      <c r="I265" s="82">
        <f t="shared" ref="I265:I274" si="60">H265+G265</f>
        <v>877.8</v>
      </c>
      <c r="J265" s="186" t="s">
        <v>200</v>
      </c>
      <c r="K265" s="104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</row>
    <row r="266" spans="1:24" x14ac:dyDescent="0.2">
      <c r="A266" s="103"/>
      <c r="B266" s="127"/>
      <c r="C266" s="113" t="s">
        <v>312</v>
      </c>
      <c r="D266" s="137" t="s">
        <v>5</v>
      </c>
      <c r="E266" s="116">
        <v>26</v>
      </c>
      <c r="F266" s="81">
        <v>66</v>
      </c>
      <c r="G266" s="82">
        <f t="shared" si="58"/>
        <v>1716</v>
      </c>
      <c r="H266" s="82">
        <f t="shared" si="59"/>
        <v>566.28</v>
      </c>
      <c r="I266" s="82">
        <f t="shared" si="60"/>
        <v>2282.2799999999997</v>
      </c>
      <c r="J266" s="186" t="s">
        <v>200</v>
      </c>
      <c r="K266" s="104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</row>
    <row r="267" spans="1:24" ht="14.25" x14ac:dyDescent="0.2">
      <c r="A267" s="103"/>
      <c r="B267" s="143"/>
      <c r="C267" s="113"/>
      <c r="D267" s="137"/>
      <c r="E267" s="116"/>
      <c r="F267" s="81"/>
      <c r="G267" s="82"/>
      <c r="H267" s="82"/>
      <c r="I267" s="82"/>
      <c r="J267" s="89"/>
      <c r="K267" s="104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</row>
    <row r="268" spans="1:24" x14ac:dyDescent="0.2">
      <c r="A268" s="103"/>
      <c r="B268" s="127" t="s">
        <v>247</v>
      </c>
      <c r="C268" s="113"/>
      <c r="D268" s="137"/>
      <c r="E268" s="116"/>
      <c r="F268" s="81"/>
      <c r="G268" s="82"/>
      <c r="H268" s="82"/>
      <c r="I268" s="82"/>
      <c r="J268" s="89"/>
      <c r="K268" s="104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</row>
    <row r="269" spans="1:24" ht="14.25" x14ac:dyDescent="0.2">
      <c r="A269" s="103"/>
      <c r="B269" s="143" t="s">
        <v>151</v>
      </c>
      <c r="C269" s="113" t="s">
        <v>311</v>
      </c>
      <c r="D269" s="137" t="s">
        <v>5</v>
      </c>
      <c r="E269" s="116">
        <v>8</v>
      </c>
      <c r="F269" s="81">
        <v>66</v>
      </c>
      <c r="G269" s="82">
        <f t="shared" si="58"/>
        <v>528</v>
      </c>
      <c r="H269" s="82">
        <f t="shared" si="59"/>
        <v>174.24</v>
      </c>
      <c r="I269" s="82">
        <f t="shared" si="60"/>
        <v>702.24</v>
      </c>
      <c r="J269" s="186" t="s">
        <v>200</v>
      </c>
      <c r="K269" s="104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</row>
    <row r="270" spans="1:24" ht="28.5" x14ac:dyDescent="0.2">
      <c r="A270" s="103"/>
      <c r="B270" s="127"/>
      <c r="C270" s="113" t="s">
        <v>313</v>
      </c>
      <c r="D270" s="137" t="s">
        <v>5</v>
      </c>
      <c r="E270" s="116">
        <v>31</v>
      </c>
      <c r="F270" s="81">
        <v>66</v>
      </c>
      <c r="G270" s="82">
        <f t="shared" si="58"/>
        <v>2046</v>
      </c>
      <c r="H270" s="82">
        <f t="shared" si="59"/>
        <v>675.18000000000006</v>
      </c>
      <c r="I270" s="82">
        <f t="shared" si="60"/>
        <v>2721.1800000000003</v>
      </c>
      <c r="J270" s="186" t="s">
        <v>200</v>
      </c>
      <c r="K270" s="104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</row>
    <row r="271" spans="1:24" ht="14.25" x14ac:dyDescent="0.2">
      <c r="A271" s="103"/>
      <c r="B271" s="143"/>
      <c r="C271" s="113"/>
      <c r="D271" s="137"/>
      <c r="E271" s="116"/>
      <c r="F271" s="81"/>
      <c r="G271" s="82"/>
      <c r="H271" s="82"/>
      <c r="I271" s="82"/>
      <c r="J271" s="89"/>
      <c r="K271" s="104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</row>
    <row r="272" spans="1:24" ht="14.25" x14ac:dyDescent="0.2">
      <c r="A272" s="103"/>
      <c r="B272" s="143" t="s">
        <v>310</v>
      </c>
      <c r="C272" s="113" t="s">
        <v>314</v>
      </c>
      <c r="D272" s="137" t="s">
        <v>5</v>
      </c>
      <c r="E272" s="116">
        <v>29</v>
      </c>
      <c r="F272" s="81">
        <v>88</v>
      </c>
      <c r="G272" s="82">
        <f t="shared" si="58"/>
        <v>2552</v>
      </c>
      <c r="H272" s="82">
        <f t="shared" si="59"/>
        <v>842.16000000000008</v>
      </c>
      <c r="I272" s="82">
        <f t="shared" si="60"/>
        <v>3394.16</v>
      </c>
      <c r="J272" s="186" t="s">
        <v>200</v>
      </c>
      <c r="K272" s="104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</row>
    <row r="273" spans="1:24" ht="14.25" x14ac:dyDescent="0.2">
      <c r="A273" s="103"/>
      <c r="B273" s="143"/>
      <c r="C273" s="113"/>
      <c r="D273" s="137"/>
      <c r="E273" s="116"/>
      <c r="F273" s="81"/>
      <c r="G273" s="82"/>
      <c r="H273" s="82"/>
      <c r="I273" s="82"/>
      <c r="J273" s="89"/>
      <c r="K273" s="104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</row>
    <row r="274" spans="1:24" x14ac:dyDescent="0.2">
      <c r="A274" s="103"/>
      <c r="B274" s="127" t="s">
        <v>23</v>
      </c>
      <c r="C274" s="113" t="s">
        <v>72</v>
      </c>
      <c r="D274" s="137" t="s">
        <v>25</v>
      </c>
      <c r="E274" s="116">
        <v>1</v>
      </c>
      <c r="F274" s="81">
        <v>300</v>
      </c>
      <c r="G274" s="82">
        <f t="shared" si="58"/>
        <v>300</v>
      </c>
      <c r="H274" s="82">
        <f t="shared" si="59"/>
        <v>99</v>
      </c>
      <c r="I274" s="82">
        <f t="shared" si="60"/>
        <v>399</v>
      </c>
      <c r="J274" s="89"/>
      <c r="K274" s="104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</row>
    <row r="275" spans="1:24" thickBot="1" x14ac:dyDescent="0.25">
      <c r="A275" s="103"/>
      <c r="B275" s="178"/>
      <c r="C275" s="113"/>
      <c r="D275" s="137"/>
      <c r="E275" s="116"/>
      <c r="F275" s="81"/>
      <c r="G275" s="82"/>
      <c r="H275" s="82"/>
      <c r="I275" s="82"/>
      <c r="J275" s="89"/>
      <c r="K275" s="104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</row>
    <row r="276" spans="1:24" ht="15.75" customHeight="1" thickBot="1" x14ac:dyDescent="0.3">
      <c r="A276" s="78"/>
      <c r="B276" s="138" t="s">
        <v>56</v>
      </c>
      <c r="C276" s="139" t="s">
        <v>102</v>
      </c>
      <c r="D276" s="64" t="s">
        <v>15</v>
      </c>
      <c r="E276" s="65" t="s">
        <v>16</v>
      </c>
      <c r="F276" s="66" t="s">
        <v>17</v>
      </c>
      <c r="G276" s="66" t="s">
        <v>18</v>
      </c>
      <c r="H276" s="66" t="s">
        <v>7</v>
      </c>
      <c r="I276" s="66" t="s">
        <v>19</v>
      </c>
      <c r="J276" s="67" t="s">
        <v>20</v>
      </c>
      <c r="K276" s="79">
        <f>SUM(I277:I299)</f>
        <v>20861.050000000003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x14ac:dyDescent="0.25">
      <c r="A277" s="103"/>
      <c r="B277" s="146"/>
      <c r="C277" s="107"/>
      <c r="D277" s="108"/>
      <c r="E277" s="7"/>
      <c r="F277" s="87"/>
      <c r="G277" s="88"/>
      <c r="H277" s="88"/>
      <c r="I277" s="88"/>
      <c r="J277" s="89"/>
      <c r="K277" s="104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</row>
    <row r="278" spans="1:24" x14ac:dyDescent="0.2">
      <c r="A278" s="103"/>
      <c r="B278" s="127" t="s">
        <v>242</v>
      </c>
      <c r="C278" s="113"/>
      <c r="D278" s="137"/>
      <c r="E278" s="119"/>
      <c r="F278" s="120"/>
      <c r="G278" s="120"/>
      <c r="H278" s="120"/>
      <c r="I278" s="120"/>
      <c r="J278" s="89"/>
      <c r="K278" s="104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</row>
    <row r="279" spans="1:24" ht="14.25" x14ac:dyDescent="0.2">
      <c r="A279" s="103"/>
      <c r="B279" s="143" t="s">
        <v>309</v>
      </c>
      <c r="C279" s="113" t="s">
        <v>95</v>
      </c>
      <c r="D279" s="137" t="s">
        <v>5</v>
      </c>
      <c r="E279" s="119">
        <v>10</v>
      </c>
      <c r="F279" s="120">
        <v>65</v>
      </c>
      <c r="G279" s="120">
        <f t="shared" ref="G279:G282" si="61">F279*E279</f>
        <v>650</v>
      </c>
      <c r="H279" s="120">
        <f t="shared" ref="H279:H282" si="62">+G279*$J$11</f>
        <v>214.5</v>
      </c>
      <c r="I279" s="120">
        <f t="shared" ref="I279:I282" si="63">H279+G279</f>
        <v>864.5</v>
      </c>
      <c r="J279" s="89"/>
      <c r="K279" s="104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</row>
    <row r="280" spans="1:24" ht="14.25" x14ac:dyDescent="0.2">
      <c r="A280" s="103"/>
      <c r="B280" s="143"/>
      <c r="C280" s="113" t="s">
        <v>311</v>
      </c>
      <c r="D280" s="137" t="s">
        <v>5</v>
      </c>
      <c r="E280" s="119">
        <v>10</v>
      </c>
      <c r="F280" s="120">
        <v>85</v>
      </c>
      <c r="G280" s="120">
        <f t="shared" si="61"/>
        <v>850</v>
      </c>
      <c r="H280" s="120">
        <f t="shared" si="62"/>
        <v>280.5</v>
      </c>
      <c r="I280" s="120">
        <f t="shared" si="63"/>
        <v>1130.5</v>
      </c>
      <c r="J280" s="89"/>
      <c r="K280" s="104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</row>
    <row r="281" spans="1:24" ht="14.25" x14ac:dyDescent="0.2">
      <c r="A281" s="103"/>
      <c r="B281" s="143"/>
      <c r="C281" s="113" t="s">
        <v>312</v>
      </c>
      <c r="D281" s="137" t="s">
        <v>5</v>
      </c>
      <c r="E281" s="119">
        <v>26</v>
      </c>
      <c r="F281" s="120">
        <v>90</v>
      </c>
      <c r="G281" s="120">
        <f t="shared" si="61"/>
        <v>2340</v>
      </c>
      <c r="H281" s="120">
        <f t="shared" si="62"/>
        <v>772.2</v>
      </c>
      <c r="I281" s="120">
        <f t="shared" si="63"/>
        <v>3112.2</v>
      </c>
      <c r="J281" s="89"/>
      <c r="K281" s="104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</row>
    <row r="282" spans="1:24" ht="14.25" x14ac:dyDescent="0.2">
      <c r="A282" s="103"/>
      <c r="B282" s="143"/>
      <c r="C282" s="113" t="s">
        <v>83</v>
      </c>
      <c r="D282" s="137" t="s">
        <v>5</v>
      </c>
      <c r="E282" s="119">
        <v>36</v>
      </c>
      <c r="F282" s="120">
        <v>10</v>
      </c>
      <c r="G282" s="120">
        <f t="shared" si="61"/>
        <v>360</v>
      </c>
      <c r="H282" s="120">
        <f t="shared" si="62"/>
        <v>118.80000000000001</v>
      </c>
      <c r="I282" s="120">
        <f t="shared" si="63"/>
        <v>478.8</v>
      </c>
      <c r="J282" s="89"/>
      <c r="K282" s="104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</row>
    <row r="283" spans="1:24" ht="14.25" x14ac:dyDescent="0.2">
      <c r="A283" s="103"/>
      <c r="B283" s="143"/>
      <c r="C283" s="113" t="s">
        <v>86</v>
      </c>
      <c r="D283" s="137" t="s">
        <v>25</v>
      </c>
      <c r="E283" s="119">
        <v>2</v>
      </c>
      <c r="F283" s="120">
        <v>85</v>
      </c>
      <c r="G283" s="120">
        <f t="shared" ref="G283:G298" si="64">F283*E283</f>
        <v>170</v>
      </c>
      <c r="H283" s="120">
        <f t="shared" ref="H283:H298" si="65">+G283*$J$11</f>
        <v>56.1</v>
      </c>
      <c r="I283" s="120">
        <f t="shared" ref="I283:I298" si="66">H283+G283</f>
        <v>226.1</v>
      </c>
      <c r="J283" s="89"/>
      <c r="K283" s="104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</row>
    <row r="284" spans="1:24" x14ac:dyDescent="0.2">
      <c r="A284" s="103"/>
      <c r="B284" s="127"/>
      <c r="C284" s="113" t="s">
        <v>73</v>
      </c>
      <c r="D284" s="137" t="s">
        <v>22</v>
      </c>
      <c r="E284" s="119">
        <v>1</v>
      </c>
      <c r="F284" s="120">
        <v>300</v>
      </c>
      <c r="G284" s="120">
        <f t="shared" si="64"/>
        <v>300</v>
      </c>
      <c r="H284" s="120">
        <f t="shared" si="65"/>
        <v>99</v>
      </c>
      <c r="I284" s="120">
        <f t="shared" si="66"/>
        <v>399</v>
      </c>
      <c r="J284" s="89"/>
      <c r="K284" s="104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</row>
    <row r="285" spans="1:24" ht="14.25" x14ac:dyDescent="0.2">
      <c r="A285" s="103"/>
      <c r="B285" s="143"/>
      <c r="C285" s="113"/>
      <c r="D285" s="137"/>
      <c r="E285" s="119"/>
      <c r="F285" s="120"/>
      <c r="G285" s="120"/>
      <c r="H285" s="120"/>
      <c r="I285" s="120"/>
      <c r="J285" s="89"/>
      <c r="K285" s="104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</row>
    <row r="286" spans="1:24" x14ac:dyDescent="0.2">
      <c r="A286" s="103"/>
      <c r="B286" s="127" t="s">
        <v>247</v>
      </c>
      <c r="C286" s="113"/>
      <c r="D286" s="137"/>
      <c r="E286" s="119"/>
      <c r="F286" s="120"/>
      <c r="G286" s="120"/>
      <c r="H286" s="120"/>
      <c r="I286" s="120"/>
      <c r="J286" s="89"/>
      <c r="K286" s="104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</row>
    <row r="287" spans="1:24" ht="14.25" x14ac:dyDescent="0.2">
      <c r="A287" s="103"/>
      <c r="B287" s="143" t="s">
        <v>151</v>
      </c>
      <c r="C287" s="113" t="s">
        <v>95</v>
      </c>
      <c r="D287" s="137" t="s">
        <v>5</v>
      </c>
      <c r="E287" s="119">
        <v>8</v>
      </c>
      <c r="F287" s="120">
        <v>65</v>
      </c>
      <c r="G287" s="120">
        <f t="shared" si="64"/>
        <v>520</v>
      </c>
      <c r="H287" s="120">
        <f t="shared" si="65"/>
        <v>171.6</v>
      </c>
      <c r="I287" s="120">
        <f t="shared" si="66"/>
        <v>691.6</v>
      </c>
      <c r="J287" s="89"/>
      <c r="K287" s="104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</row>
    <row r="288" spans="1:24" ht="14.25" x14ac:dyDescent="0.2">
      <c r="A288" s="103"/>
      <c r="B288" s="143"/>
      <c r="C288" s="113" t="s">
        <v>311</v>
      </c>
      <c r="D288" s="137" t="s">
        <v>5</v>
      </c>
      <c r="E288" s="119">
        <v>8</v>
      </c>
      <c r="F288" s="120">
        <v>85</v>
      </c>
      <c r="G288" s="120">
        <f t="shared" si="64"/>
        <v>680</v>
      </c>
      <c r="H288" s="120">
        <f t="shared" si="65"/>
        <v>224.4</v>
      </c>
      <c r="I288" s="120">
        <f t="shared" si="66"/>
        <v>904.4</v>
      </c>
      <c r="J288" s="89"/>
      <c r="K288" s="104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</row>
    <row r="289" spans="1:24" ht="28.5" x14ac:dyDescent="0.2">
      <c r="A289" s="103"/>
      <c r="B289" s="143"/>
      <c r="C289" s="113" t="s">
        <v>315</v>
      </c>
      <c r="D289" s="137" t="s">
        <v>5</v>
      </c>
      <c r="E289" s="119">
        <v>36</v>
      </c>
      <c r="F289" s="120">
        <v>90</v>
      </c>
      <c r="G289" s="120">
        <f t="shared" si="64"/>
        <v>3240</v>
      </c>
      <c r="H289" s="120">
        <f t="shared" si="65"/>
        <v>1069.2</v>
      </c>
      <c r="I289" s="120">
        <f t="shared" si="66"/>
        <v>4309.2</v>
      </c>
      <c r="J289" s="89"/>
      <c r="K289" s="104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</row>
    <row r="290" spans="1:24" ht="14.25" x14ac:dyDescent="0.2">
      <c r="A290" s="103"/>
      <c r="B290" s="143"/>
      <c r="C290" s="113" t="s">
        <v>83</v>
      </c>
      <c r="D290" s="137" t="s">
        <v>5</v>
      </c>
      <c r="E290" s="119">
        <v>44</v>
      </c>
      <c r="F290" s="120">
        <v>10</v>
      </c>
      <c r="G290" s="120">
        <f t="shared" si="64"/>
        <v>440</v>
      </c>
      <c r="H290" s="120">
        <f t="shared" si="65"/>
        <v>145.20000000000002</v>
      </c>
      <c r="I290" s="120">
        <f t="shared" si="66"/>
        <v>585.20000000000005</v>
      </c>
      <c r="J290" s="89"/>
      <c r="K290" s="104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</row>
    <row r="291" spans="1:24" ht="14.25" x14ac:dyDescent="0.2">
      <c r="A291" s="103"/>
      <c r="B291" s="143"/>
      <c r="C291" s="113" t="s">
        <v>86</v>
      </c>
      <c r="D291" s="137" t="s">
        <v>25</v>
      </c>
      <c r="E291" s="119">
        <v>2</v>
      </c>
      <c r="F291" s="120">
        <v>85</v>
      </c>
      <c r="G291" s="120">
        <f t="shared" si="64"/>
        <v>170</v>
      </c>
      <c r="H291" s="120">
        <f t="shared" si="65"/>
        <v>56.1</v>
      </c>
      <c r="I291" s="120">
        <f t="shared" si="66"/>
        <v>226.1</v>
      </c>
      <c r="J291" s="89"/>
      <c r="K291" s="104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</row>
    <row r="292" spans="1:24" x14ac:dyDescent="0.2">
      <c r="A292" s="103"/>
      <c r="B292" s="127"/>
      <c r="C292" s="113" t="s">
        <v>73</v>
      </c>
      <c r="D292" s="137" t="s">
        <v>22</v>
      </c>
      <c r="E292" s="119">
        <v>1</v>
      </c>
      <c r="F292" s="120">
        <v>350</v>
      </c>
      <c r="G292" s="120">
        <f t="shared" si="64"/>
        <v>350</v>
      </c>
      <c r="H292" s="120">
        <f t="shared" si="65"/>
        <v>115.5</v>
      </c>
      <c r="I292" s="120">
        <f t="shared" si="66"/>
        <v>465.5</v>
      </c>
      <c r="J292" s="89"/>
      <c r="K292" s="104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</row>
    <row r="293" spans="1:24" ht="14.25" x14ac:dyDescent="0.2">
      <c r="A293" s="103"/>
      <c r="B293" s="143"/>
      <c r="C293" s="113"/>
      <c r="D293" s="137"/>
      <c r="E293" s="119"/>
      <c r="F293" s="120"/>
      <c r="G293" s="120"/>
      <c r="H293" s="120"/>
      <c r="I293" s="120"/>
      <c r="J293" s="89"/>
      <c r="K293" s="104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</row>
    <row r="294" spans="1:24" ht="14.25" x14ac:dyDescent="0.2">
      <c r="A294" s="103"/>
      <c r="B294" s="143" t="s">
        <v>310</v>
      </c>
      <c r="C294" s="113" t="s">
        <v>95</v>
      </c>
      <c r="D294" s="137" t="s">
        <v>5</v>
      </c>
      <c r="E294" s="119">
        <v>29</v>
      </c>
      <c r="F294" s="120">
        <v>65</v>
      </c>
      <c r="G294" s="120">
        <f t="shared" si="64"/>
        <v>1885</v>
      </c>
      <c r="H294" s="120">
        <f t="shared" si="65"/>
        <v>622.05000000000007</v>
      </c>
      <c r="I294" s="120">
        <f t="shared" si="66"/>
        <v>2507.0500000000002</v>
      </c>
      <c r="J294" s="89"/>
      <c r="K294" s="104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</row>
    <row r="295" spans="1:24" ht="14.25" x14ac:dyDescent="0.2">
      <c r="A295" s="103"/>
      <c r="B295" s="143"/>
      <c r="C295" s="113" t="s">
        <v>314</v>
      </c>
      <c r="D295" s="137" t="s">
        <v>5</v>
      </c>
      <c r="E295" s="119">
        <v>29</v>
      </c>
      <c r="F295" s="120">
        <v>90</v>
      </c>
      <c r="G295" s="120">
        <f t="shared" si="64"/>
        <v>2610</v>
      </c>
      <c r="H295" s="120">
        <f t="shared" si="65"/>
        <v>861.30000000000007</v>
      </c>
      <c r="I295" s="120">
        <f t="shared" si="66"/>
        <v>3471.3</v>
      </c>
      <c r="J295" s="89"/>
      <c r="K295" s="104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</row>
    <row r="296" spans="1:24" x14ac:dyDescent="0.2">
      <c r="A296" s="103"/>
      <c r="B296" s="127"/>
      <c r="C296" s="113" t="s">
        <v>83</v>
      </c>
      <c r="D296" s="137" t="s">
        <v>5</v>
      </c>
      <c r="E296" s="119">
        <v>29</v>
      </c>
      <c r="F296" s="120">
        <v>10</v>
      </c>
      <c r="G296" s="120">
        <f t="shared" si="64"/>
        <v>290</v>
      </c>
      <c r="H296" s="120">
        <f t="shared" si="65"/>
        <v>95.7</v>
      </c>
      <c r="I296" s="120">
        <f t="shared" si="66"/>
        <v>385.7</v>
      </c>
      <c r="J296" s="89"/>
      <c r="K296" s="104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</row>
    <row r="297" spans="1:24" ht="14.25" x14ac:dyDescent="0.2">
      <c r="A297" s="103"/>
      <c r="B297" s="143"/>
      <c r="C297" s="113" t="s">
        <v>153</v>
      </c>
      <c r="D297" s="137" t="s">
        <v>5</v>
      </c>
      <c r="E297" s="119">
        <v>29</v>
      </c>
      <c r="F297" s="120">
        <v>20</v>
      </c>
      <c r="G297" s="120">
        <f t="shared" si="64"/>
        <v>580</v>
      </c>
      <c r="H297" s="120">
        <f t="shared" si="65"/>
        <v>191.4</v>
      </c>
      <c r="I297" s="120">
        <f t="shared" si="66"/>
        <v>771.4</v>
      </c>
      <c r="J297" s="89"/>
      <c r="K297" s="104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</row>
    <row r="298" spans="1:24" ht="14.25" x14ac:dyDescent="0.2">
      <c r="A298" s="103"/>
      <c r="B298" s="143"/>
      <c r="C298" s="113" t="s">
        <v>73</v>
      </c>
      <c r="D298" s="137" t="s">
        <v>22</v>
      </c>
      <c r="E298" s="119">
        <v>1</v>
      </c>
      <c r="F298" s="120">
        <v>250</v>
      </c>
      <c r="G298" s="120">
        <f t="shared" si="64"/>
        <v>250</v>
      </c>
      <c r="H298" s="120">
        <f t="shared" si="65"/>
        <v>82.5</v>
      </c>
      <c r="I298" s="120">
        <f t="shared" si="66"/>
        <v>332.5</v>
      </c>
      <c r="J298" s="89"/>
      <c r="K298" s="104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</row>
    <row r="299" spans="1:24" thickBot="1" x14ac:dyDescent="0.25">
      <c r="A299" s="103"/>
      <c r="B299" s="143"/>
      <c r="C299" s="113"/>
      <c r="D299" s="137"/>
      <c r="E299" s="119"/>
      <c r="F299" s="120"/>
      <c r="G299" s="120"/>
      <c r="H299" s="120"/>
      <c r="I299" s="120"/>
      <c r="J299" s="89"/>
      <c r="K299" s="104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</row>
    <row r="300" spans="1:24" ht="15.75" customHeight="1" thickBot="1" x14ac:dyDescent="0.3">
      <c r="A300" s="78"/>
      <c r="B300" s="138" t="s">
        <v>57</v>
      </c>
      <c r="C300" s="139" t="s">
        <v>316</v>
      </c>
      <c r="D300" s="64" t="s">
        <v>15</v>
      </c>
      <c r="E300" s="65" t="s">
        <v>16</v>
      </c>
      <c r="F300" s="66" t="s">
        <v>17</v>
      </c>
      <c r="G300" s="66" t="s">
        <v>18</v>
      </c>
      <c r="H300" s="66" t="s">
        <v>7</v>
      </c>
      <c r="I300" s="66" t="s">
        <v>19</v>
      </c>
      <c r="J300" s="67" t="s">
        <v>20</v>
      </c>
      <c r="K300" s="79">
        <f>SUM(I301:I303)</f>
        <v>33250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x14ac:dyDescent="0.25">
      <c r="A301" s="103"/>
      <c r="B301" s="146"/>
      <c r="C301" s="107"/>
      <c r="D301" s="108"/>
      <c r="E301" s="7"/>
      <c r="F301" s="87"/>
      <c r="G301" s="88"/>
      <c r="H301" s="88"/>
      <c r="I301" s="88"/>
      <c r="J301" s="89"/>
      <c r="K301" s="104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</row>
    <row r="302" spans="1:24" s="174" customFormat="1" ht="28.5" x14ac:dyDescent="0.2">
      <c r="A302" s="172"/>
      <c r="B302" s="143"/>
      <c r="C302" s="113" t="s">
        <v>317</v>
      </c>
      <c r="D302" s="137" t="s">
        <v>63</v>
      </c>
      <c r="E302" s="116">
        <v>1</v>
      </c>
      <c r="F302" s="81">
        <v>25000</v>
      </c>
      <c r="G302" s="82">
        <f t="shared" ref="G302" si="67">F302*E302</f>
        <v>25000</v>
      </c>
      <c r="H302" s="82">
        <f t="shared" ref="H302" si="68">+G302*$J$11</f>
        <v>8250</v>
      </c>
      <c r="I302" s="82">
        <f t="shared" ref="I302" si="69">H302+G302</f>
        <v>33250</v>
      </c>
      <c r="J302" s="121"/>
      <c r="K302" s="125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</row>
    <row r="303" spans="1:24" s="174" customFormat="1" thickBot="1" x14ac:dyDescent="0.25">
      <c r="A303" s="172"/>
      <c r="B303" s="143"/>
      <c r="C303" s="113"/>
      <c r="D303" s="137"/>
      <c r="E303" s="116"/>
      <c r="F303" s="81"/>
      <c r="G303" s="82"/>
      <c r="H303" s="82"/>
      <c r="I303" s="82"/>
      <c r="J303" s="121"/>
      <c r="K303" s="125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</row>
    <row r="304" spans="1:24" ht="15.75" customHeight="1" thickBot="1" x14ac:dyDescent="0.3">
      <c r="A304" s="78"/>
      <c r="B304" s="138" t="s">
        <v>59</v>
      </c>
      <c r="C304" s="139" t="s">
        <v>318</v>
      </c>
      <c r="D304" s="64" t="s">
        <v>15</v>
      </c>
      <c r="E304" s="65" t="s">
        <v>16</v>
      </c>
      <c r="F304" s="66" t="s">
        <v>17</v>
      </c>
      <c r="G304" s="66" t="s">
        <v>18</v>
      </c>
      <c r="H304" s="66" t="s">
        <v>7</v>
      </c>
      <c r="I304" s="66" t="s">
        <v>19</v>
      </c>
      <c r="J304" s="67" t="s">
        <v>20</v>
      </c>
      <c r="K304" s="79">
        <f>SUM(I305:I320)</f>
        <v>49685.0095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s="174" customFormat="1" x14ac:dyDescent="0.2">
      <c r="A305" s="172"/>
      <c r="B305" s="127"/>
      <c r="C305" s="113"/>
      <c r="D305" s="137"/>
      <c r="E305" s="116"/>
      <c r="F305" s="81"/>
      <c r="G305" s="82"/>
      <c r="H305" s="82"/>
      <c r="I305" s="82"/>
      <c r="J305" s="121"/>
      <c r="K305" s="125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</row>
    <row r="306" spans="1:24" s="174" customFormat="1" x14ac:dyDescent="0.2">
      <c r="A306" s="172"/>
      <c r="B306" s="127" t="s">
        <v>247</v>
      </c>
      <c r="C306" s="113"/>
      <c r="D306" s="137"/>
      <c r="E306" s="116"/>
      <c r="F306" s="81"/>
      <c r="G306" s="82"/>
      <c r="H306" s="82"/>
      <c r="I306" s="82"/>
      <c r="J306" s="121"/>
      <c r="K306" s="125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</row>
    <row r="307" spans="1:24" s="174" customFormat="1" ht="42.75" x14ac:dyDescent="0.2">
      <c r="A307" s="172"/>
      <c r="B307" s="143" t="s">
        <v>64</v>
      </c>
      <c r="C307" s="113" t="s">
        <v>319</v>
      </c>
      <c r="D307" s="137" t="s">
        <v>261</v>
      </c>
      <c r="E307" s="116">
        <v>1</v>
      </c>
      <c r="F307" s="81">
        <v>258.52999999999997</v>
      </c>
      <c r="G307" s="82">
        <f t="shared" ref="G307" si="70">F307*E307</f>
        <v>258.52999999999997</v>
      </c>
      <c r="H307" s="82">
        <f t="shared" ref="H307" si="71">+G307*$J$11</f>
        <v>85.314899999999994</v>
      </c>
      <c r="I307" s="82">
        <f t="shared" ref="I307" si="72">H307+G307</f>
        <v>343.84489999999994</v>
      </c>
      <c r="J307" s="121"/>
      <c r="K307" s="125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</row>
    <row r="308" spans="1:24" s="174" customFormat="1" ht="28.5" x14ac:dyDescent="0.2">
      <c r="A308" s="172"/>
      <c r="B308" s="143"/>
      <c r="C308" s="113" t="s">
        <v>320</v>
      </c>
      <c r="D308" s="137" t="s">
        <v>5</v>
      </c>
      <c r="E308" s="116">
        <v>91</v>
      </c>
      <c r="F308" s="81">
        <v>171.01</v>
      </c>
      <c r="G308" s="82">
        <f t="shared" ref="G308:G319" si="73">F308*E308</f>
        <v>15561.91</v>
      </c>
      <c r="H308" s="82">
        <f t="shared" ref="H308:H319" si="74">+G308*$J$11</f>
        <v>5135.4303</v>
      </c>
      <c r="I308" s="82">
        <f t="shared" ref="I308:I319" si="75">H308+G308</f>
        <v>20697.3403</v>
      </c>
      <c r="J308" s="121"/>
      <c r="K308" s="125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</row>
    <row r="309" spans="1:24" s="174" customFormat="1" ht="28.5" x14ac:dyDescent="0.2">
      <c r="A309" s="172"/>
      <c r="B309" s="143"/>
      <c r="C309" s="113" t="s">
        <v>321</v>
      </c>
      <c r="D309" s="137" t="s">
        <v>5</v>
      </c>
      <c r="E309" s="116">
        <v>15</v>
      </c>
      <c r="F309" s="81">
        <v>171.01</v>
      </c>
      <c r="G309" s="82">
        <f t="shared" si="73"/>
        <v>2565.1499999999996</v>
      </c>
      <c r="H309" s="82">
        <f t="shared" si="74"/>
        <v>846.4994999999999</v>
      </c>
      <c r="I309" s="82">
        <f t="shared" si="75"/>
        <v>3411.6494999999995</v>
      </c>
      <c r="J309" s="121"/>
      <c r="K309" s="125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</row>
    <row r="310" spans="1:24" s="174" customFormat="1" ht="28.5" x14ac:dyDescent="0.2">
      <c r="A310" s="172"/>
      <c r="B310" s="143"/>
      <c r="C310" s="113" t="s">
        <v>322</v>
      </c>
      <c r="D310" s="137" t="s">
        <v>42</v>
      </c>
      <c r="E310" s="116">
        <v>12</v>
      </c>
      <c r="F310" s="81">
        <v>95</v>
      </c>
      <c r="G310" s="82">
        <f t="shared" si="73"/>
        <v>1140</v>
      </c>
      <c r="H310" s="82">
        <f t="shared" si="74"/>
        <v>376.20000000000005</v>
      </c>
      <c r="I310" s="82">
        <f t="shared" si="75"/>
        <v>1516.2</v>
      </c>
      <c r="J310" s="121"/>
      <c r="K310" s="125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</row>
    <row r="311" spans="1:24" s="174" customFormat="1" ht="14.25" x14ac:dyDescent="0.2">
      <c r="A311" s="172"/>
      <c r="B311" s="143"/>
      <c r="C311" s="113" t="s">
        <v>323</v>
      </c>
      <c r="D311" s="137" t="s">
        <v>22</v>
      </c>
      <c r="E311" s="116">
        <v>1</v>
      </c>
      <c r="F311" s="81">
        <v>2500</v>
      </c>
      <c r="G311" s="82">
        <f t="shared" si="73"/>
        <v>2500</v>
      </c>
      <c r="H311" s="82">
        <f t="shared" si="74"/>
        <v>825</v>
      </c>
      <c r="I311" s="82">
        <f t="shared" si="75"/>
        <v>3325</v>
      </c>
      <c r="J311" s="121"/>
      <c r="K311" s="125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</row>
    <row r="312" spans="1:24" s="174" customFormat="1" ht="14.25" x14ac:dyDescent="0.2">
      <c r="A312" s="172"/>
      <c r="B312" s="143"/>
      <c r="C312" s="113" t="s">
        <v>324</v>
      </c>
      <c r="D312" s="137" t="s">
        <v>22</v>
      </c>
      <c r="E312" s="116">
        <v>1</v>
      </c>
      <c r="F312" s="81">
        <v>1500</v>
      </c>
      <c r="G312" s="82">
        <f t="shared" si="73"/>
        <v>1500</v>
      </c>
      <c r="H312" s="82">
        <f t="shared" si="74"/>
        <v>495</v>
      </c>
      <c r="I312" s="82">
        <f t="shared" si="75"/>
        <v>1995</v>
      </c>
      <c r="J312" s="121"/>
      <c r="K312" s="125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</row>
    <row r="313" spans="1:24" s="174" customFormat="1" ht="28.5" x14ac:dyDescent="0.2">
      <c r="A313" s="172"/>
      <c r="B313" s="143"/>
      <c r="C313" s="113" t="s">
        <v>325</v>
      </c>
      <c r="D313" s="137" t="s">
        <v>25</v>
      </c>
      <c r="E313" s="116">
        <v>2</v>
      </c>
      <c r="F313" s="81">
        <v>350</v>
      </c>
      <c r="G313" s="82">
        <f t="shared" si="73"/>
        <v>700</v>
      </c>
      <c r="H313" s="82">
        <f t="shared" si="74"/>
        <v>231</v>
      </c>
      <c r="I313" s="82">
        <f t="shared" si="75"/>
        <v>931</v>
      </c>
      <c r="J313" s="121"/>
      <c r="K313" s="125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</row>
    <row r="314" spans="1:24" s="174" customFormat="1" ht="28.5" x14ac:dyDescent="0.2">
      <c r="A314" s="172"/>
      <c r="B314" s="143"/>
      <c r="C314" s="113" t="s">
        <v>326</v>
      </c>
      <c r="D314" s="137" t="s">
        <v>22</v>
      </c>
      <c r="E314" s="116">
        <v>1</v>
      </c>
      <c r="F314" s="81">
        <v>1500</v>
      </c>
      <c r="G314" s="82">
        <f t="shared" si="73"/>
        <v>1500</v>
      </c>
      <c r="H314" s="82">
        <f t="shared" si="74"/>
        <v>495</v>
      </c>
      <c r="I314" s="82">
        <f t="shared" si="75"/>
        <v>1995</v>
      </c>
      <c r="J314" s="121"/>
      <c r="K314" s="125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</row>
    <row r="315" spans="1:24" s="174" customFormat="1" ht="28.5" x14ac:dyDescent="0.2">
      <c r="A315" s="172"/>
      <c r="B315" s="143"/>
      <c r="C315" s="113" t="s">
        <v>327</v>
      </c>
      <c r="D315" s="137" t="s">
        <v>41</v>
      </c>
      <c r="E315" s="116">
        <v>36</v>
      </c>
      <c r="F315" s="81">
        <v>3.71</v>
      </c>
      <c r="G315" s="82">
        <f t="shared" si="73"/>
        <v>133.56</v>
      </c>
      <c r="H315" s="82">
        <f t="shared" si="74"/>
        <v>44.074800000000003</v>
      </c>
      <c r="I315" s="82">
        <f t="shared" si="75"/>
        <v>177.63480000000001</v>
      </c>
      <c r="J315" s="121"/>
      <c r="K315" s="125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</row>
    <row r="316" spans="1:24" s="174" customFormat="1" ht="14.25" x14ac:dyDescent="0.2">
      <c r="A316" s="172"/>
      <c r="B316" s="143"/>
      <c r="C316" s="113" t="s">
        <v>38</v>
      </c>
      <c r="D316" s="137" t="s">
        <v>22</v>
      </c>
      <c r="E316" s="116">
        <v>1</v>
      </c>
      <c r="F316" s="81">
        <v>500</v>
      </c>
      <c r="G316" s="82">
        <f t="shared" si="73"/>
        <v>500</v>
      </c>
      <c r="H316" s="82">
        <f t="shared" si="74"/>
        <v>165</v>
      </c>
      <c r="I316" s="82">
        <f t="shared" si="75"/>
        <v>665</v>
      </c>
      <c r="J316" s="121"/>
      <c r="K316" s="125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</row>
    <row r="317" spans="1:24" s="174" customFormat="1" ht="14.25" x14ac:dyDescent="0.2">
      <c r="A317" s="172"/>
      <c r="B317" s="143"/>
      <c r="C317" s="113" t="s">
        <v>23</v>
      </c>
      <c r="D317" s="137" t="s">
        <v>25</v>
      </c>
      <c r="E317" s="116">
        <v>2</v>
      </c>
      <c r="F317" s="81">
        <v>99</v>
      </c>
      <c r="G317" s="82">
        <f t="shared" si="73"/>
        <v>198</v>
      </c>
      <c r="H317" s="82">
        <f t="shared" si="74"/>
        <v>65.34</v>
      </c>
      <c r="I317" s="82">
        <f t="shared" si="75"/>
        <v>263.34000000000003</v>
      </c>
      <c r="J317" s="121"/>
      <c r="K317" s="125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</row>
    <row r="318" spans="1:24" s="174" customFormat="1" ht="14.25" x14ac:dyDescent="0.2">
      <c r="A318" s="172"/>
      <c r="B318" s="143"/>
      <c r="C318" s="113"/>
      <c r="D318" s="137"/>
      <c r="E318" s="116"/>
      <c r="F318" s="81"/>
      <c r="G318" s="82"/>
      <c r="H318" s="82"/>
      <c r="I318" s="82"/>
      <c r="J318" s="121"/>
      <c r="K318" s="125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</row>
    <row r="319" spans="1:24" s="174" customFormat="1" ht="42.75" x14ac:dyDescent="0.2">
      <c r="A319" s="172"/>
      <c r="B319" s="143" t="s">
        <v>48</v>
      </c>
      <c r="C319" s="113" t="s">
        <v>328</v>
      </c>
      <c r="D319" s="137" t="s">
        <v>27</v>
      </c>
      <c r="E319" s="116">
        <v>120</v>
      </c>
      <c r="F319" s="81">
        <v>90</v>
      </c>
      <c r="G319" s="82">
        <f t="shared" si="73"/>
        <v>10800</v>
      </c>
      <c r="H319" s="82">
        <f t="shared" si="74"/>
        <v>3564</v>
      </c>
      <c r="I319" s="82">
        <f t="shared" si="75"/>
        <v>14364</v>
      </c>
      <c r="J319" s="121"/>
      <c r="K319" s="125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</row>
    <row r="320" spans="1:24" ht="15.75" thickBot="1" x14ac:dyDescent="0.3">
      <c r="A320" s="103"/>
      <c r="B320" s="146"/>
      <c r="C320" s="113"/>
      <c r="D320" s="108"/>
      <c r="E320" s="7"/>
      <c r="F320" s="87"/>
      <c r="G320" s="88"/>
      <c r="H320" s="88"/>
      <c r="I320" s="88"/>
      <c r="J320" s="89"/>
      <c r="K320" s="104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</row>
    <row r="321" spans="1:24" ht="15.75" customHeight="1" thickBot="1" x14ac:dyDescent="0.3">
      <c r="A321" s="78"/>
      <c r="B321" s="138" t="s">
        <v>58</v>
      </c>
      <c r="C321" s="139" t="s">
        <v>154</v>
      </c>
      <c r="D321" s="64" t="s">
        <v>15</v>
      </c>
      <c r="E321" s="65" t="s">
        <v>16</v>
      </c>
      <c r="F321" s="66" t="s">
        <v>17</v>
      </c>
      <c r="G321" s="66" t="s">
        <v>18</v>
      </c>
      <c r="H321" s="66" t="s">
        <v>7</v>
      </c>
      <c r="I321" s="66" t="s">
        <v>19</v>
      </c>
      <c r="J321" s="67" t="s">
        <v>20</v>
      </c>
      <c r="K321" s="79">
        <f>SUM(I322:I326)</f>
        <v>3830.3999999999996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s="174" customFormat="1" x14ac:dyDescent="0.2">
      <c r="A322" s="172"/>
      <c r="B322" s="127"/>
      <c r="C322" s="113"/>
      <c r="D322" s="137"/>
      <c r="E322" s="116"/>
      <c r="F322" s="81"/>
      <c r="G322" s="82"/>
      <c r="H322" s="82"/>
      <c r="I322" s="82"/>
      <c r="J322" s="121"/>
      <c r="K322" s="125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</row>
    <row r="323" spans="1:24" s="174" customFormat="1" ht="28.5" x14ac:dyDescent="0.2">
      <c r="A323" s="172"/>
      <c r="B323" s="127" t="s">
        <v>329</v>
      </c>
      <c r="C323" s="113" t="s">
        <v>330</v>
      </c>
      <c r="D323" s="137" t="s">
        <v>5</v>
      </c>
      <c r="E323" s="116">
        <v>3.4</v>
      </c>
      <c r="F323" s="81">
        <v>400</v>
      </c>
      <c r="G323" s="82">
        <f t="shared" ref="G323:G325" si="76">F323*E323</f>
        <v>1360</v>
      </c>
      <c r="H323" s="82">
        <f t="shared" ref="H323:H325" si="77">+G323*$J$11</f>
        <v>448.8</v>
      </c>
      <c r="I323" s="82">
        <f t="shared" ref="I323:I325" si="78">H323+G323</f>
        <v>1808.8</v>
      </c>
      <c r="J323" s="121"/>
      <c r="K323" s="125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</row>
    <row r="324" spans="1:24" s="174" customFormat="1" x14ac:dyDescent="0.2">
      <c r="A324" s="172"/>
      <c r="B324" s="127"/>
      <c r="C324" s="113"/>
      <c r="D324" s="137"/>
      <c r="E324" s="116"/>
      <c r="F324" s="81"/>
      <c r="G324" s="82"/>
      <c r="H324" s="82"/>
      <c r="I324" s="82"/>
      <c r="J324" s="121"/>
      <c r="K324" s="125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</row>
    <row r="325" spans="1:24" s="174" customFormat="1" ht="28.5" x14ac:dyDescent="0.2">
      <c r="A325" s="172"/>
      <c r="B325" s="127" t="s">
        <v>331</v>
      </c>
      <c r="C325" s="113" t="s">
        <v>332</v>
      </c>
      <c r="D325" s="137" t="s">
        <v>5</v>
      </c>
      <c r="E325" s="116">
        <v>3.8</v>
      </c>
      <c r="F325" s="81">
        <v>400</v>
      </c>
      <c r="G325" s="82">
        <f t="shared" si="76"/>
        <v>1520</v>
      </c>
      <c r="H325" s="82">
        <f t="shared" si="77"/>
        <v>501.6</v>
      </c>
      <c r="I325" s="82">
        <f t="shared" si="78"/>
        <v>2021.6</v>
      </c>
      <c r="J325" s="121"/>
      <c r="K325" s="125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</row>
    <row r="326" spans="1:24" thickBot="1" x14ac:dyDescent="0.25">
      <c r="A326" s="103"/>
      <c r="B326" s="144"/>
      <c r="C326" s="113"/>
      <c r="D326" s="137"/>
      <c r="E326" s="116"/>
      <c r="F326" s="81"/>
      <c r="G326" s="82"/>
      <c r="H326" s="82"/>
      <c r="I326" s="82"/>
      <c r="J326" s="89"/>
      <c r="K326" s="104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</row>
    <row r="327" spans="1:24" ht="15.75" customHeight="1" thickBot="1" x14ac:dyDescent="0.3">
      <c r="A327" s="78"/>
      <c r="B327" s="138" t="s">
        <v>60</v>
      </c>
      <c r="C327" s="139" t="s">
        <v>155</v>
      </c>
      <c r="D327" s="64" t="s">
        <v>15</v>
      </c>
      <c r="E327" s="65" t="s">
        <v>16</v>
      </c>
      <c r="F327" s="66" t="s">
        <v>17</v>
      </c>
      <c r="G327" s="66" t="s">
        <v>18</v>
      </c>
      <c r="H327" s="66" t="s">
        <v>7</v>
      </c>
      <c r="I327" s="66" t="s">
        <v>19</v>
      </c>
      <c r="J327" s="67" t="s">
        <v>20</v>
      </c>
      <c r="K327" s="79">
        <f>SUM(I328:I337)</f>
        <v>24224.6865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4.25" x14ac:dyDescent="0.2">
      <c r="A328" s="103"/>
      <c r="B328" s="144"/>
      <c r="C328" s="113"/>
      <c r="D328" s="137"/>
      <c r="E328" s="116"/>
      <c r="F328" s="81"/>
      <c r="G328" s="82"/>
      <c r="H328" s="82"/>
      <c r="I328" s="82"/>
      <c r="J328" s="89"/>
      <c r="K328" s="104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</row>
    <row r="329" spans="1:24" s="174" customFormat="1" ht="30" x14ac:dyDescent="0.2">
      <c r="A329" s="172"/>
      <c r="B329" s="127" t="s">
        <v>337</v>
      </c>
      <c r="C329" s="113"/>
      <c r="D329" s="137"/>
      <c r="E329" s="116"/>
      <c r="F329" s="81"/>
      <c r="G329" s="82"/>
      <c r="H329" s="82"/>
      <c r="I329" s="82"/>
      <c r="J329" s="121"/>
      <c r="K329" s="125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</row>
    <row r="330" spans="1:24" s="174" customFormat="1" ht="28.5" x14ac:dyDescent="0.2">
      <c r="A330" s="172"/>
      <c r="B330" s="143" t="s">
        <v>64</v>
      </c>
      <c r="C330" s="113" t="s">
        <v>333</v>
      </c>
      <c r="D330" s="137" t="s">
        <v>261</v>
      </c>
      <c r="E330" s="116">
        <v>1</v>
      </c>
      <c r="F330" s="81">
        <v>9370.0499999999993</v>
      </c>
      <c r="G330" s="82">
        <f t="shared" ref="G330:G332" si="79">F330*E330</f>
        <v>9370.0499999999993</v>
      </c>
      <c r="H330" s="82">
        <f t="shared" ref="H330:H332" si="80">+G330*$J$11</f>
        <v>3092.1165000000001</v>
      </c>
      <c r="I330" s="82">
        <f t="shared" ref="I330:I332" si="81">H330+G330</f>
        <v>12462.166499999999</v>
      </c>
      <c r="J330" s="121"/>
      <c r="K330" s="125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</row>
    <row r="331" spans="1:24" s="174" customFormat="1" x14ac:dyDescent="0.2">
      <c r="A331" s="172"/>
      <c r="B331" s="127"/>
      <c r="C331" s="113" t="s">
        <v>38</v>
      </c>
      <c r="D331" s="137" t="s">
        <v>22</v>
      </c>
      <c r="E331" s="116">
        <v>1</v>
      </c>
      <c r="F331" s="81">
        <v>300</v>
      </c>
      <c r="G331" s="82">
        <f t="shared" si="79"/>
        <v>300</v>
      </c>
      <c r="H331" s="82">
        <f t="shared" si="80"/>
        <v>99</v>
      </c>
      <c r="I331" s="82">
        <f t="shared" si="81"/>
        <v>399</v>
      </c>
      <c r="J331" s="121"/>
      <c r="K331" s="125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</row>
    <row r="332" spans="1:24" s="174" customFormat="1" x14ac:dyDescent="0.2">
      <c r="A332" s="172"/>
      <c r="B332" s="127"/>
      <c r="C332" s="113" t="s">
        <v>65</v>
      </c>
      <c r="D332" s="137" t="s">
        <v>25</v>
      </c>
      <c r="E332" s="116">
        <v>1</v>
      </c>
      <c r="F332" s="81">
        <v>99</v>
      </c>
      <c r="G332" s="82">
        <f t="shared" si="79"/>
        <v>99</v>
      </c>
      <c r="H332" s="82">
        <f t="shared" si="80"/>
        <v>32.67</v>
      </c>
      <c r="I332" s="82">
        <f t="shared" si="81"/>
        <v>131.67000000000002</v>
      </c>
      <c r="J332" s="121"/>
      <c r="K332" s="125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</row>
    <row r="333" spans="1:24" s="174" customFormat="1" x14ac:dyDescent="0.2">
      <c r="A333" s="172"/>
      <c r="B333" s="127"/>
      <c r="C333" s="113"/>
      <c r="D333" s="137"/>
      <c r="E333" s="116"/>
      <c r="F333" s="81"/>
      <c r="G333" s="82"/>
      <c r="H333" s="82"/>
      <c r="I333" s="82"/>
      <c r="J333" s="121"/>
      <c r="K333" s="125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</row>
    <row r="334" spans="1:24" s="174" customFormat="1" ht="28.5" x14ac:dyDescent="0.2">
      <c r="A334" s="172"/>
      <c r="B334" s="143" t="s">
        <v>48</v>
      </c>
      <c r="C334" s="113" t="s">
        <v>334</v>
      </c>
      <c r="D334" s="137" t="s">
        <v>27</v>
      </c>
      <c r="E334" s="116">
        <v>48</v>
      </c>
      <c r="F334" s="81">
        <v>90</v>
      </c>
      <c r="G334" s="82">
        <f t="shared" ref="G334:G336" si="82">F334*E334</f>
        <v>4320</v>
      </c>
      <c r="H334" s="82">
        <f t="shared" ref="H334:H336" si="83">+G334*$J$11</f>
        <v>1425.6000000000001</v>
      </c>
      <c r="I334" s="82">
        <f t="shared" ref="I334:I336" si="84">H334+G334</f>
        <v>5745.6</v>
      </c>
      <c r="J334" s="121"/>
      <c r="K334" s="125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</row>
    <row r="335" spans="1:24" s="174" customFormat="1" x14ac:dyDescent="0.2">
      <c r="A335" s="172"/>
      <c r="B335" s="127"/>
      <c r="C335" s="113"/>
      <c r="D335" s="137"/>
      <c r="E335" s="116"/>
      <c r="F335" s="81"/>
      <c r="G335" s="82"/>
      <c r="H335" s="82"/>
      <c r="I335" s="82"/>
      <c r="J335" s="121"/>
      <c r="K335" s="125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</row>
    <row r="336" spans="1:24" s="174" customFormat="1" ht="30" x14ac:dyDescent="0.2">
      <c r="A336" s="172"/>
      <c r="B336" s="127" t="s">
        <v>336</v>
      </c>
      <c r="C336" s="113" t="s">
        <v>335</v>
      </c>
      <c r="D336" s="137" t="s">
        <v>5</v>
      </c>
      <c r="E336" s="116">
        <v>75</v>
      </c>
      <c r="F336" s="81">
        <v>55</v>
      </c>
      <c r="G336" s="82">
        <f t="shared" si="82"/>
        <v>4125</v>
      </c>
      <c r="H336" s="82">
        <f t="shared" si="83"/>
        <v>1361.25</v>
      </c>
      <c r="I336" s="82">
        <f t="shared" si="84"/>
        <v>5486.25</v>
      </c>
      <c r="J336" s="121"/>
      <c r="K336" s="125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</row>
    <row r="337" spans="1:24" thickBot="1" x14ac:dyDescent="0.25">
      <c r="A337" s="103"/>
      <c r="B337" s="144"/>
      <c r="C337" s="113"/>
      <c r="D337" s="137"/>
      <c r="E337" s="116"/>
      <c r="F337" s="81"/>
      <c r="G337" s="82"/>
      <c r="H337" s="82"/>
      <c r="I337" s="82"/>
      <c r="J337" s="89"/>
      <c r="K337" s="104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</row>
    <row r="338" spans="1:24" ht="15.75" customHeight="1" thickBot="1" x14ac:dyDescent="0.3">
      <c r="A338" s="78"/>
      <c r="B338" s="138" t="s">
        <v>61</v>
      </c>
      <c r="C338" s="139" t="s">
        <v>74</v>
      </c>
      <c r="D338" s="64" t="s">
        <v>15</v>
      </c>
      <c r="E338" s="65" t="s">
        <v>16</v>
      </c>
      <c r="F338" s="66" t="s">
        <v>17</v>
      </c>
      <c r="G338" s="66" t="s">
        <v>18</v>
      </c>
      <c r="H338" s="66" t="s">
        <v>7</v>
      </c>
      <c r="I338" s="66" t="s">
        <v>19</v>
      </c>
      <c r="J338" s="67" t="s">
        <v>20</v>
      </c>
      <c r="K338" s="79">
        <f>SUM(I339:I354)</f>
        <v>101745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4.25" x14ac:dyDescent="0.2">
      <c r="A339" s="103"/>
      <c r="B339" s="144"/>
      <c r="C339" s="113"/>
      <c r="D339" s="137"/>
      <c r="E339" s="116"/>
      <c r="F339" s="81"/>
      <c r="G339" s="82"/>
      <c r="H339" s="82"/>
      <c r="I339" s="82"/>
      <c r="J339" s="89"/>
      <c r="K339" s="104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</row>
    <row r="340" spans="1:24" s="174" customFormat="1" x14ac:dyDescent="0.2">
      <c r="A340" s="172"/>
      <c r="B340" s="127" t="s">
        <v>242</v>
      </c>
      <c r="C340" s="113" t="s">
        <v>338</v>
      </c>
      <c r="D340" s="137" t="s">
        <v>63</v>
      </c>
      <c r="E340" s="116">
        <v>1</v>
      </c>
      <c r="F340" s="81">
        <v>4500</v>
      </c>
      <c r="G340" s="82">
        <f t="shared" ref="G340" si="85">F340*E340</f>
        <v>4500</v>
      </c>
      <c r="H340" s="82">
        <f t="shared" ref="H340" si="86">+G340*$J$11</f>
        <v>1485</v>
      </c>
      <c r="I340" s="82">
        <f t="shared" ref="I340" si="87">H340+G340</f>
        <v>5985</v>
      </c>
      <c r="J340" s="121"/>
      <c r="K340" s="125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</row>
    <row r="341" spans="1:24" s="174" customFormat="1" x14ac:dyDescent="0.2">
      <c r="A341" s="172"/>
      <c r="B341" s="127"/>
      <c r="C341" s="113"/>
      <c r="D341" s="137"/>
      <c r="E341" s="116"/>
      <c r="F341" s="81"/>
      <c r="G341" s="82"/>
      <c r="H341" s="82"/>
      <c r="I341" s="82"/>
      <c r="J341" s="121"/>
      <c r="K341" s="125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</row>
    <row r="342" spans="1:24" s="174" customFormat="1" x14ac:dyDescent="0.2">
      <c r="A342" s="172"/>
      <c r="B342" s="127" t="s">
        <v>247</v>
      </c>
      <c r="C342" s="113" t="s">
        <v>339</v>
      </c>
      <c r="D342" s="137" t="s">
        <v>63</v>
      </c>
      <c r="E342" s="116">
        <v>1</v>
      </c>
      <c r="F342" s="81">
        <v>1500</v>
      </c>
      <c r="G342" s="82">
        <f t="shared" ref="G342:G353" si="88">F342*E342</f>
        <v>1500</v>
      </c>
      <c r="H342" s="82">
        <f t="shared" ref="H342:H353" si="89">+G342*$J$11</f>
        <v>495</v>
      </c>
      <c r="I342" s="82">
        <f t="shared" ref="I342:I353" si="90">H342+G342</f>
        <v>1995</v>
      </c>
      <c r="J342" s="121"/>
      <c r="K342" s="125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</row>
    <row r="343" spans="1:24" s="174" customFormat="1" x14ac:dyDescent="0.2">
      <c r="A343" s="172"/>
      <c r="B343" s="127"/>
      <c r="C343" s="113" t="s">
        <v>340</v>
      </c>
      <c r="D343" s="137" t="s">
        <v>63</v>
      </c>
      <c r="E343" s="116">
        <v>1</v>
      </c>
      <c r="F343" s="81">
        <v>2000</v>
      </c>
      <c r="G343" s="82">
        <f t="shared" si="88"/>
        <v>2000</v>
      </c>
      <c r="H343" s="82">
        <f t="shared" si="89"/>
        <v>660</v>
      </c>
      <c r="I343" s="82">
        <f t="shared" si="90"/>
        <v>2660</v>
      </c>
      <c r="J343" s="121"/>
      <c r="K343" s="125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</row>
    <row r="344" spans="1:24" s="174" customFormat="1" x14ac:dyDescent="0.2">
      <c r="A344" s="172"/>
      <c r="B344" s="127"/>
      <c r="C344" s="113" t="s">
        <v>341</v>
      </c>
      <c r="D344" s="137" t="s">
        <v>63</v>
      </c>
      <c r="E344" s="116">
        <v>1</v>
      </c>
      <c r="F344" s="81">
        <v>1500</v>
      </c>
      <c r="G344" s="82">
        <f t="shared" si="88"/>
        <v>1500</v>
      </c>
      <c r="H344" s="82">
        <f t="shared" si="89"/>
        <v>495</v>
      </c>
      <c r="I344" s="82">
        <f t="shared" si="90"/>
        <v>1995</v>
      </c>
      <c r="J344" s="121"/>
      <c r="K344" s="125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</row>
    <row r="345" spans="1:24" s="174" customFormat="1" x14ac:dyDescent="0.2">
      <c r="A345" s="172"/>
      <c r="B345" s="127"/>
      <c r="C345" s="113" t="s">
        <v>342</v>
      </c>
      <c r="D345" s="137" t="s">
        <v>63</v>
      </c>
      <c r="E345" s="116">
        <v>1</v>
      </c>
      <c r="F345" s="81">
        <v>12000</v>
      </c>
      <c r="G345" s="82">
        <f t="shared" si="88"/>
        <v>12000</v>
      </c>
      <c r="H345" s="82">
        <f t="shared" si="89"/>
        <v>3960</v>
      </c>
      <c r="I345" s="82">
        <f t="shared" si="90"/>
        <v>15960</v>
      </c>
      <c r="J345" s="121"/>
      <c r="K345" s="125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</row>
    <row r="346" spans="1:24" s="174" customFormat="1" x14ac:dyDescent="0.2">
      <c r="A346" s="172"/>
      <c r="B346" s="127"/>
      <c r="C346" s="113" t="s">
        <v>343</v>
      </c>
      <c r="D346" s="137" t="s">
        <v>63</v>
      </c>
      <c r="E346" s="116">
        <v>1</v>
      </c>
      <c r="F346" s="81">
        <v>6000</v>
      </c>
      <c r="G346" s="82">
        <f t="shared" si="88"/>
        <v>6000</v>
      </c>
      <c r="H346" s="82">
        <f t="shared" si="89"/>
        <v>1980</v>
      </c>
      <c r="I346" s="82">
        <f t="shared" si="90"/>
        <v>7980</v>
      </c>
      <c r="J346" s="121"/>
      <c r="K346" s="125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</row>
    <row r="347" spans="1:24" s="174" customFormat="1" x14ac:dyDescent="0.2">
      <c r="A347" s="172"/>
      <c r="B347" s="127"/>
      <c r="C347" s="113" t="s">
        <v>344</v>
      </c>
      <c r="D347" s="137" t="s">
        <v>63</v>
      </c>
      <c r="E347" s="116">
        <v>1</v>
      </c>
      <c r="F347" s="81">
        <v>1500</v>
      </c>
      <c r="G347" s="82">
        <f t="shared" si="88"/>
        <v>1500</v>
      </c>
      <c r="H347" s="82">
        <f t="shared" si="89"/>
        <v>495</v>
      </c>
      <c r="I347" s="82">
        <f t="shared" si="90"/>
        <v>1995</v>
      </c>
      <c r="J347" s="121"/>
      <c r="K347" s="125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</row>
    <row r="348" spans="1:24" s="174" customFormat="1" x14ac:dyDescent="0.2">
      <c r="A348" s="172"/>
      <c r="B348" s="127"/>
      <c r="C348" s="113" t="s">
        <v>345</v>
      </c>
      <c r="D348" s="137" t="s">
        <v>63</v>
      </c>
      <c r="E348" s="116">
        <v>1</v>
      </c>
      <c r="F348" s="81">
        <v>5500</v>
      </c>
      <c r="G348" s="82">
        <f t="shared" si="88"/>
        <v>5500</v>
      </c>
      <c r="H348" s="82">
        <f t="shared" si="89"/>
        <v>1815</v>
      </c>
      <c r="I348" s="82">
        <f t="shared" si="90"/>
        <v>7315</v>
      </c>
      <c r="J348" s="121"/>
      <c r="K348" s="125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</row>
    <row r="349" spans="1:24" s="174" customFormat="1" x14ac:dyDescent="0.2">
      <c r="A349" s="172"/>
      <c r="B349" s="127"/>
      <c r="C349" s="113" t="s">
        <v>152</v>
      </c>
      <c r="D349" s="137" t="s">
        <v>63</v>
      </c>
      <c r="E349" s="116">
        <v>1</v>
      </c>
      <c r="F349" s="81">
        <v>15000</v>
      </c>
      <c r="G349" s="82">
        <f t="shared" si="88"/>
        <v>15000</v>
      </c>
      <c r="H349" s="82">
        <f t="shared" si="89"/>
        <v>4950</v>
      </c>
      <c r="I349" s="82">
        <f t="shared" si="90"/>
        <v>19950</v>
      </c>
      <c r="J349" s="121"/>
      <c r="K349" s="125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</row>
    <row r="350" spans="1:24" s="174" customFormat="1" x14ac:dyDescent="0.2">
      <c r="A350" s="172"/>
      <c r="B350" s="127"/>
      <c r="C350" s="113" t="s">
        <v>346</v>
      </c>
      <c r="D350" s="137" t="s">
        <v>63</v>
      </c>
      <c r="E350" s="116">
        <v>1</v>
      </c>
      <c r="F350" s="81">
        <v>10000</v>
      </c>
      <c r="G350" s="82">
        <f t="shared" si="88"/>
        <v>10000</v>
      </c>
      <c r="H350" s="82">
        <f t="shared" si="89"/>
        <v>3300</v>
      </c>
      <c r="I350" s="82">
        <f t="shared" si="90"/>
        <v>13300</v>
      </c>
      <c r="J350" s="121"/>
      <c r="K350" s="125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</row>
    <row r="351" spans="1:24" s="174" customFormat="1" x14ac:dyDescent="0.2">
      <c r="A351" s="172"/>
      <c r="B351" s="127"/>
      <c r="C351" s="113" t="s">
        <v>347</v>
      </c>
      <c r="D351" s="137" t="s">
        <v>63</v>
      </c>
      <c r="E351" s="116">
        <v>1</v>
      </c>
      <c r="F351" s="81">
        <v>4500</v>
      </c>
      <c r="G351" s="82">
        <f t="shared" si="88"/>
        <v>4500</v>
      </c>
      <c r="H351" s="82">
        <f t="shared" si="89"/>
        <v>1485</v>
      </c>
      <c r="I351" s="82">
        <f t="shared" si="90"/>
        <v>5985</v>
      </c>
      <c r="J351" s="121"/>
      <c r="K351" s="125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</row>
    <row r="352" spans="1:24" s="174" customFormat="1" x14ac:dyDescent="0.2">
      <c r="A352" s="172"/>
      <c r="B352" s="127"/>
      <c r="C352" s="113" t="s">
        <v>156</v>
      </c>
      <c r="D352" s="137" t="s">
        <v>63</v>
      </c>
      <c r="E352" s="116">
        <v>1</v>
      </c>
      <c r="F352" s="81">
        <v>2500</v>
      </c>
      <c r="G352" s="82">
        <f t="shared" si="88"/>
        <v>2500</v>
      </c>
      <c r="H352" s="82">
        <f t="shared" si="89"/>
        <v>825</v>
      </c>
      <c r="I352" s="82">
        <f t="shared" si="90"/>
        <v>3325</v>
      </c>
      <c r="J352" s="121"/>
      <c r="K352" s="125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</row>
    <row r="353" spans="1:24" s="174" customFormat="1" x14ac:dyDescent="0.2">
      <c r="A353" s="172"/>
      <c r="B353" s="127"/>
      <c r="C353" s="113" t="s">
        <v>348</v>
      </c>
      <c r="D353" s="137" t="s">
        <v>63</v>
      </c>
      <c r="E353" s="116">
        <v>1</v>
      </c>
      <c r="F353" s="81">
        <v>10000</v>
      </c>
      <c r="G353" s="82">
        <f t="shared" si="88"/>
        <v>10000</v>
      </c>
      <c r="H353" s="82">
        <f t="shared" si="89"/>
        <v>3300</v>
      </c>
      <c r="I353" s="82">
        <f t="shared" si="90"/>
        <v>13300</v>
      </c>
      <c r="J353" s="121"/>
      <c r="K353" s="125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</row>
    <row r="354" spans="1:24" thickBot="1" x14ac:dyDescent="0.25">
      <c r="A354" s="103"/>
      <c r="B354" s="144"/>
      <c r="C354" s="113"/>
      <c r="D354" s="137"/>
      <c r="E354" s="116"/>
      <c r="F354" s="81"/>
      <c r="G354" s="82"/>
      <c r="H354" s="82"/>
      <c r="I354" s="82"/>
      <c r="J354" s="89"/>
      <c r="K354" s="104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</row>
    <row r="355" spans="1:24" ht="15.75" customHeight="1" thickBot="1" x14ac:dyDescent="0.3">
      <c r="A355" s="78"/>
      <c r="B355" s="138" t="s">
        <v>87</v>
      </c>
      <c r="C355" s="139" t="s">
        <v>75</v>
      </c>
      <c r="D355" s="64" t="s">
        <v>15</v>
      </c>
      <c r="E355" s="65" t="s">
        <v>16</v>
      </c>
      <c r="F355" s="66" t="s">
        <v>17</v>
      </c>
      <c r="G355" s="66" t="s">
        <v>18</v>
      </c>
      <c r="H355" s="66" t="s">
        <v>7</v>
      </c>
      <c r="I355" s="66" t="s">
        <v>19</v>
      </c>
      <c r="J355" s="67" t="s">
        <v>20</v>
      </c>
      <c r="K355" s="79">
        <f>SUM(I356:I363)</f>
        <v>33726.565600000002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4.25" x14ac:dyDescent="0.2">
      <c r="A356" s="103"/>
      <c r="B356" s="144"/>
      <c r="C356" s="113"/>
      <c r="D356" s="137"/>
      <c r="E356" s="116"/>
      <c r="F356" s="81"/>
      <c r="G356" s="82"/>
      <c r="H356" s="82"/>
      <c r="I356" s="82"/>
      <c r="J356" s="89"/>
      <c r="K356" s="104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</row>
    <row r="357" spans="1:24" ht="28.5" x14ac:dyDescent="0.25">
      <c r="A357" s="103"/>
      <c r="B357" s="146" t="s">
        <v>349</v>
      </c>
      <c r="C357" s="113" t="s">
        <v>350</v>
      </c>
      <c r="D357" s="137" t="s">
        <v>261</v>
      </c>
      <c r="E357" s="116">
        <v>1</v>
      </c>
      <c r="F357" s="81">
        <v>17288.32</v>
      </c>
      <c r="G357" s="82">
        <f t="shared" ref="G357:G362" si="91">F357*E357</f>
        <v>17288.32</v>
      </c>
      <c r="H357" s="82">
        <f t="shared" ref="H357:H362" si="92">+G357*$J$11</f>
        <v>5705.1455999999998</v>
      </c>
      <c r="I357" s="82">
        <f t="shared" ref="I357:I362" si="93">H357+G357</f>
        <v>22993.4656</v>
      </c>
      <c r="J357" s="89"/>
      <c r="K357" s="104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</row>
    <row r="358" spans="1:24" x14ac:dyDescent="0.25">
      <c r="A358" s="103"/>
      <c r="B358" s="146"/>
      <c r="C358" s="113" t="s">
        <v>351</v>
      </c>
      <c r="D358" s="137" t="s">
        <v>63</v>
      </c>
      <c r="E358" s="116">
        <v>1</v>
      </c>
      <c r="F358" s="81">
        <v>3500</v>
      </c>
      <c r="G358" s="82">
        <f t="shared" si="91"/>
        <v>3500</v>
      </c>
      <c r="H358" s="82">
        <f t="shared" si="92"/>
        <v>1155</v>
      </c>
      <c r="I358" s="82">
        <f t="shared" si="93"/>
        <v>4655</v>
      </c>
      <c r="J358" s="89"/>
      <c r="K358" s="104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</row>
    <row r="359" spans="1:24" x14ac:dyDescent="0.25">
      <c r="A359" s="103"/>
      <c r="B359" s="146"/>
      <c r="C359" s="113"/>
      <c r="D359" s="137"/>
      <c r="E359" s="116"/>
      <c r="F359" s="81"/>
      <c r="G359" s="82"/>
      <c r="H359" s="82"/>
      <c r="I359" s="82"/>
      <c r="J359" s="89"/>
      <c r="K359" s="104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</row>
    <row r="360" spans="1:24" x14ac:dyDescent="0.25">
      <c r="A360" s="103"/>
      <c r="B360" s="146" t="s">
        <v>352</v>
      </c>
      <c r="C360" s="113" t="s">
        <v>353</v>
      </c>
      <c r="D360" s="137" t="s">
        <v>27</v>
      </c>
      <c r="E360" s="116">
        <v>16</v>
      </c>
      <c r="F360" s="81">
        <v>90</v>
      </c>
      <c r="G360" s="82">
        <f t="shared" si="91"/>
        <v>1440</v>
      </c>
      <c r="H360" s="82">
        <f t="shared" si="92"/>
        <v>475.20000000000005</v>
      </c>
      <c r="I360" s="82">
        <f t="shared" si="93"/>
        <v>1915.2</v>
      </c>
      <c r="J360" s="89"/>
      <c r="K360" s="104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</row>
    <row r="361" spans="1:24" x14ac:dyDescent="0.25">
      <c r="A361" s="103"/>
      <c r="B361" s="146"/>
      <c r="C361" s="113" t="s">
        <v>354</v>
      </c>
      <c r="D361" s="137" t="s">
        <v>25</v>
      </c>
      <c r="E361" s="116">
        <v>1</v>
      </c>
      <c r="F361" s="81">
        <v>250</v>
      </c>
      <c r="G361" s="82">
        <f t="shared" si="91"/>
        <v>250</v>
      </c>
      <c r="H361" s="82">
        <f t="shared" si="92"/>
        <v>82.5</v>
      </c>
      <c r="I361" s="82">
        <f t="shared" si="93"/>
        <v>332.5</v>
      </c>
      <c r="J361" s="89"/>
      <c r="K361" s="104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</row>
    <row r="362" spans="1:24" ht="28.5" x14ac:dyDescent="0.25">
      <c r="A362" s="103"/>
      <c r="B362" s="146"/>
      <c r="C362" s="113" t="s">
        <v>355</v>
      </c>
      <c r="D362" s="137" t="s">
        <v>27</v>
      </c>
      <c r="E362" s="116">
        <v>32</v>
      </c>
      <c r="F362" s="81">
        <v>90</v>
      </c>
      <c r="G362" s="82">
        <f t="shared" si="91"/>
        <v>2880</v>
      </c>
      <c r="H362" s="82">
        <f t="shared" si="92"/>
        <v>950.40000000000009</v>
      </c>
      <c r="I362" s="82">
        <f t="shared" si="93"/>
        <v>3830.4</v>
      </c>
      <c r="J362" s="89"/>
      <c r="K362" s="104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</row>
    <row r="363" spans="1:24" thickBot="1" x14ac:dyDescent="0.25">
      <c r="A363" s="103"/>
      <c r="B363" s="144"/>
      <c r="C363" s="113"/>
      <c r="D363" s="137"/>
      <c r="E363" s="116"/>
      <c r="F363" s="81"/>
      <c r="G363" s="82"/>
      <c r="H363" s="82"/>
      <c r="I363" s="82"/>
      <c r="J363" s="89"/>
      <c r="K363" s="104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</row>
    <row r="364" spans="1:24" ht="15.75" customHeight="1" thickBot="1" x14ac:dyDescent="0.3">
      <c r="A364" s="78"/>
      <c r="B364" s="138" t="s">
        <v>88</v>
      </c>
      <c r="C364" s="139" t="s">
        <v>92</v>
      </c>
      <c r="D364" s="64" t="s">
        <v>15</v>
      </c>
      <c r="E364" s="65" t="s">
        <v>16</v>
      </c>
      <c r="F364" s="66" t="s">
        <v>17</v>
      </c>
      <c r="G364" s="66" t="s">
        <v>18</v>
      </c>
      <c r="H364" s="66" t="s">
        <v>7</v>
      </c>
      <c r="I364" s="66" t="s">
        <v>19</v>
      </c>
      <c r="J364" s="67" t="s">
        <v>20</v>
      </c>
      <c r="K364" s="79">
        <f>SUM(I365:I373)</f>
        <v>89402.6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4.25" x14ac:dyDescent="0.2">
      <c r="A365" s="103"/>
      <c r="B365" s="144"/>
      <c r="C365" s="113"/>
      <c r="D365" s="137"/>
      <c r="E365" s="116"/>
      <c r="F365" s="81"/>
      <c r="G365" s="82"/>
      <c r="H365" s="82"/>
      <c r="I365" s="82"/>
      <c r="J365" s="89"/>
      <c r="K365" s="104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</row>
    <row r="366" spans="1:24" x14ac:dyDescent="0.25">
      <c r="A366" s="103"/>
      <c r="B366" s="146" t="s">
        <v>356</v>
      </c>
      <c r="C366" s="113" t="s">
        <v>357</v>
      </c>
      <c r="D366" s="137" t="s">
        <v>261</v>
      </c>
      <c r="E366" s="116">
        <v>1</v>
      </c>
      <c r="F366" s="81">
        <v>51700</v>
      </c>
      <c r="G366" s="82">
        <f t="shared" ref="G366:G372" si="94">F366*E366</f>
        <v>51700</v>
      </c>
      <c r="H366" s="82">
        <f t="shared" ref="H366:H372" si="95">+G366*$J$11</f>
        <v>17061</v>
      </c>
      <c r="I366" s="82">
        <f t="shared" ref="I366:I372" si="96">H366+G366</f>
        <v>68761</v>
      </c>
      <c r="J366" s="89"/>
      <c r="K366" s="104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</row>
    <row r="367" spans="1:24" ht="14.25" x14ac:dyDescent="0.2">
      <c r="A367" s="103"/>
      <c r="B367" s="144"/>
      <c r="C367" s="113" t="s">
        <v>358</v>
      </c>
      <c r="D367" s="137" t="s">
        <v>63</v>
      </c>
      <c r="E367" s="116">
        <v>1</v>
      </c>
      <c r="F367" s="81">
        <v>3500</v>
      </c>
      <c r="G367" s="82">
        <f t="shared" si="94"/>
        <v>3500</v>
      </c>
      <c r="H367" s="82">
        <f t="shared" si="95"/>
        <v>1155</v>
      </c>
      <c r="I367" s="82">
        <f t="shared" si="96"/>
        <v>4655</v>
      </c>
      <c r="J367" s="89"/>
      <c r="K367" s="104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</row>
    <row r="368" spans="1:24" ht="14.25" x14ac:dyDescent="0.2">
      <c r="A368" s="103"/>
      <c r="B368" s="144"/>
      <c r="C368" s="113"/>
      <c r="D368" s="137"/>
      <c r="E368" s="116"/>
      <c r="F368" s="81"/>
      <c r="G368" s="82"/>
      <c r="H368" s="82"/>
      <c r="I368" s="82"/>
      <c r="J368" s="89"/>
      <c r="K368" s="104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</row>
    <row r="369" spans="1:24" x14ac:dyDescent="0.25">
      <c r="A369" s="103"/>
      <c r="B369" s="146" t="s">
        <v>359</v>
      </c>
      <c r="C369" s="113" t="s">
        <v>360</v>
      </c>
      <c r="D369" s="137" t="s">
        <v>27</v>
      </c>
      <c r="E369" s="116">
        <v>32</v>
      </c>
      <c r="F369" s="81">
        <v>120</v>
      </c>
      <c r="G369" s="82">
        <f t="shared" si="94"/>
        <v>3840</v>
      </c>
      <c r="H369" s="82">
        <f t="shared" si="95"/>
        <v>1267.2</v>
      </c>
      <c r="I369" s="82">
        <f t="shared" si="96"/>
        <v>5107.2</v>
      </c>
      <c r="J369" s="89"/>
      <c r="K369" s="104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</row>
    <row r="370" spans="1:24" ht="14.25" x14ac:dyDescent="0.2">
      <c r="A370" s="103"/>
      <c r="B370" s="144"/>
      <c r="C370" s="113" t="s">
        <v>361</v>
      </c>
      <c r="D370" s="137" t="s">
        <v>27</v>
      </c>
      <c r="E370" s="116">
        <v>16</v>
      </c>
      <c r="F370" s="81">
        <v>120</v>
      </c>
      <c r="G370" s="82">
        <f t="shared" si="94"/>
        <v>1920</v>
      </c>
      <c r="H370" s="82">
        <f t="shared" si="95"/>
        <v>633.6</v>
      </c>
      <c r="I370" s="82">
        <f t="shared" si="96"/>
        <v>2553.6</v>
      </c>
      <c r="J370" s="89"/>
      <c r="K370" s="104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</row>
    <row r="371" spans="1:24" ht="14.25" x14ac:dyDescent="0.2">
      <c r="A371" s="103"/>
      <c r="B371" s="144"/>
      <c r="C371" s="113" t="s">
        <v>354</v>
      </c>
      <c r="D371" s="137" t="s">
        <v>25</v>
      </c>
      <c r="E371" s="116">
        <v>1</v>
      </c>
      <c r="F371" s="81">
        <v>500</v>
      </c>
      <c r="G371" s="82">
        <f t="shared" si="94"/>
        <v>500</v>
      </c>
      <c r="H371" s="82">
        <f t="shared" si="95"/>
        <v>165</v>
      </c>
      <c r="I371" s="82">
        <f t="shared" si="96"/>
        <v>665</v>
      </c>
      <c r="J371" s="89"/>
      <c r="K371" s="104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</row>
    <row r="372" spans="1:24" ht="42.75" x14ac:dyDescent="0.2">
      <c r="A372" s="103"/>
      <c r="B372" s="144"/>
      <c r="C372" s="113" t="s">
        <v>362</v>
      </c>
      <c r="D372" s="137" t="s">
        <v>27</v>
      </c>
      <c r="E372" s="116">
        <v>64</v>
      </c>
      <c r="F372" s="81">
        <v>90</v>
      </c>
      <c r="G372" s="82">
        <f t="shared" si="94"/>
        <v>5760</v>
      </c>
      <c r="H372" s="82">
        <f t="shared" si="95"/>
        <v>1900.8000000000002</v>
      </c>
      <c r="I372" s="82">
        <f t="shared" si="96"/>
        <v>7660.8</v>
      </c>
      <c r="J372" s="89"/>
      <c r="K372" s="104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</row>
    <row r="373" spans="1:24" thickBot="1" x14ac:dyDescent="0.25">
      <c r="A373" s="103"/>
      <c r="B373" s="144"/>
      <c r="C373" s="113"/>
      <c r="D373" s="137"/>
      <c r="E373" s="116"/>
      <c r="F373" s="81"/>
      <c r="G373" s="82"/>
      <c r="H373" s="82"/>
      <c r="I373" s="82"/>
      <c r="J373" s="89"/>
      <c r="K373" s="104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</row>
    <row r="374" spans="1:24" ht="15.75" customHeight="1" thickBot="1" x14ac:dyDescent="0.3">
      <c r="A374" s="78"/>
      <c r="B374" s="138" t="s">
        <v>89</v>
      </c>
      <c r="C374" s="139" t="s">
        <v>363</v>
      </c>
      <c r="D374" s="64" t="s">
        <v>15</v>
      </c>
      <c r="E374" s="65" t="s">
        <v>16</v>
      </c>
      <c r="F374" s="66" t="s">
        <v>17</v>
      </c>
      <c r="G374" s="66" t="s">
        <v>18</v>
      </c>
      <c r="H374" s="66" t="s">
        <v>7</v>
      </c>
      <c r="I374" s="66" t="s">
        <v>19</v>
      </c>
      <c r="J374" s="67" t="s">
        <v>20</v>
      </c>
      <c r="K374" s="79">
        <f>SUM(I375:I402)</f>
        <v>8432.1999999999989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4.25" x14ac:dyDescent="0.2">
      <c r="A375" s="103"/>
      <c r="B375" s="144"/>
      <c r="C375" s="113"/>
      <c r="D375" s="137"/>
      <c r="E375" s="116"/>
      <c r="F375" s="81"/>
      <c r="G375" s="82"/>
      <c r="H375" s="82"/>
      <c r="I375" s="82"/>
      <c r="J375" s="89"/>
      <c r="K375" s="104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</row>
    <row r="376" spans="1:24" x14ac:dyDescent="0.25">
      <c r="A376" s="103"/>
      <c r="B376" s="146" t="s">
        <v>242</v>
      </c>
      <c r="C376" s="113"/>
      <c r="D376" s="137"/>
      <c r="E376" s="116"/>
      <c r="F376" s="81"/>
      <c r="G376" s="82"/>
      <c r="H376" s="82"/>
      <c r="I376" s="82"/>
      <c r="J376" s="89"/>
      <c r="K376" s="104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</row>
    <row r="377" spans="1:24" ht="14.25" x14ac:dyDescent="0.2">
      <c r="A377" s="103"/>
      <c r="B377" s="144" t="s">
        <v>309</v>
      </c>
      <c r="C377" s="113" t="s">
        <v>364</v>
      </c>
      <c r="D377" s="137" t="s">
        <v>63</v>
      </c>
      <c r="E377" s="116">
        <v>1</v>
      </c>
      <c r="F377" s="81">
        <v>600</v>
      </c>
      <c r="G377" s="82">
        <f t="shared" ref="G377:G401" si="97">F377*E377</f>
        <v>600</v>
      </c>
      <c r="H377" s="82">
        <f t="shared" ref="H377:H401" si="98">+G377*$J$11</f>
        <v>198</v>
      </c>
      <c r="I377" s="82">
        <f t="shared" ref="I377:I401" si="99">H377+G377</f>
        <v>798</v>
      </c>
      <c r="J377" s="89"/>
      <c r="K377" s="104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</row>
    <row r="378" spans="1:24" ht="14.25" x14ac:dyDescent="0.2">
      <c r="A378" s="103"/>
      <c r="B378" s="144"/>
      <c r="C378" s="113" t="s">
        <v>365</v>
      </c>
      <c r="D378" s="137" t="s">
        <v>63</v>
      </c>
      <c r="E378" s="116">
        <v>1</v>
      </c>
      <c r="F378" s="81">
        <v>50</v>
      </c>
      <c r="G378" s="82">
        <f t="shared" si="97"/>
        <v>50</v>
      </c>
      <c r="H378" s="82">
        <f t="shared" si="98"/>
        <v>16.5</v>
      </c>
      <c r="I378" s="82">
        <f t="shared" si="99"/>
        <v>66.5</v>
      </c>
      <c r="J378" s="89"/>
      <c r="K378" s="104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</row>
    <row r="379" spans="1:24" ht="14.25" x14ac:dyDescent="0.2">
      <c r="A379" s="103"/>
      <c r="B379" s="144"/>
      <c r="C379" s="113" t="s">
        <v>366</v>
      </c>
      <c r="D379" s="137" t="s">
        <v>63</v>
      </c>
      <c r="E379" s="116">
        <v>1</v>
      </c>
      <c r="F379" s="81">
        <v>650</v>
      </c>
      <c r="G379" s="82">
        <f t="shared" si="97"/>
        <v>650</v>
      </c>
      <c r="H379" s="82">
        <f t="shared" si="98"/>
        <v>214.5</v>
      </c>
      <c r="I379" s="82">
        <f t="shared" si="99"/>
        <v>864.5</v>
      </c>
      <c r="J379" s="89"/>
      <c r="K379" s="104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</row>
    <row r="380" spans="1:24" ht="14.25" x14ac:dyDescent="0.2">
      <c r="A380" s="103"/>
      <c r="B380" s="144"/>
      <c r="C380" s="113" t="s">
        <v>367</v>
      </c>
      <c r="D380" s="137" t="s">
        <v>63</v>
      </c>
      <c r="E380" s="116">
        <v>1</v>
      </c>
      <c r="F380" s="81">
        <v>200</v>
      </c>
      <c r="G380" s="82">
        <f t="shared" si="97"/>
        <v>200</v>
      </c>
      <c r="H380" s="82">
        <f t="shared" si="98"/>
        <v>66</v>
      </c>
      <c r="I380" s="82">
        <f t="shared" si="99"/>
        <v>266</v>
      </c>
      <c r="J380" s="89"/>
      <c r="K380" s="104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</row>
    <row r="381" spans="1:24" ht="14.25" x14ac:dyDescent="0.2">
      <c r="A381" s="103"/>
      <c r="B381" s="144"/>
      <c r="C381" s="113" t="s">
        <v>368</v>
      </c>
      <c r="D381" s="137" t="s">
        <v>63</v>
      </c>
      <c r="E381" s="116">
        <v>1</v>
      </c>
      <c r="F381" s="81">
        <v>350</v>
      </c>
      <c r="G381" s="82">
        <f t="shared" si="97"/>
        <v>350</v>
      </c>
      <c r="H381" s="82">
        <f t="shared" si="98"/>
        <v>115.5</v>
      </c>
      <c r="I381" s="82">
        <f t="shared" si="99"/>
        <v>465.5</v>
      </c>
      <c r="J381" s="89"/>
      <c r="K381" s="104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</row>
    <row r="382" spans="1:24" ht="14.25" x14ac:dyDescent="0.2">
      <c r="A382" s="103"/>
      <c r="B382" s="144"/>
      <c r="C382" s="113" t="s">
        <v>369</v>
      </c>
      <c r="D382" s="137" t="s">
        <v>63</v>
      </c>
      <c r="E382" s="116">
        <v>1</v>
      </c>
      <c r="F382" s="81">
        <v>150</v>
      </c>
      <c r="G382" s="82">
        <f t="shared" ref="G382:G387" si="100">F382*E382</f>
        <v>150</v>
      </c>
      <c r="H382" s="82">
        <f t="shared" ref="H382:H387" si="101">+G382*$J$11</f>
        <v>49.5</v>
      </c>
      <c r="I382" s="82">
        <f t="shared" ref="I382:I387" si="102">H382+G382</f>
        <v>199.5</v>
      </c>
      <c r="J382" s="89"/>
      <c r="K382" s="104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</row>
    <row r="383" spans="1:24" ht="14.25" x14ac:dyDescent="0.2">
      <c r="A383" s="103"/>
      <c r="B383" s="144"/>
      <c r="C383" s="113" t="s">
        <v>370</v>
      </c>
      <c r="D383" s="137" t="s">
        <v>63</v>
      </c>
      <c r="E383" s="116">
        <v>1</v>
      </c>
      <c r="F383" s="81">
        <v>350</v>
      </c>
      <c r="G383" s="82">
        <f t="shared" si="100"/>
        <v>350</v>
      </c>
      <c r="H383" s="82">
        <f t="shared" si="101"/>
        <v>115.5</v>
      </c>
      <c r="I383" s="82">
        <f t="shared" si="102"/>
        <v>465.5</v>
      </c>
      <c r="J383" s="89"/>
      <c r="K383" s="104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</row>
    <row r="384" spans="1:24" ht="14.25" x14ac:dyDescent="0.2">
      <c r="A384" s="103"/>
      <c r="B384" s="144"/>
      <c r="C384" s="113" t="s">
        <v>371</v>
      </c>
      <c r="D384" s="137" t="s">
        <v>63</v>
      </c>
      <c r="E384" s="116">
        <v>2</v>
      </c>
      <c r="F384" s="81">
        <v>20</v>
      </c>
      <c r="G384" s="82">
        <f t="shared" si="100"/>
        <v>40</v>
      </c>
      <c r="H384" s="82">
        <f t="shared" si="101"/>
        <v>13.200000000000001</v>
      </c>
      <c r="I384" s="82">
        <f t="shared" si="102"/>
        <v>53.2</v>
      </c>
      <c r="J384" s="89"/>
      <c r="K384" s="104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</row>
    <row r="385" spans="1:24" ht="14.25" x14ac:dyDescent="0.2">
      <c r="A385" s="103"/>
      <c r="B385" s="144"/>
      <c r="C385" s="113" t="s">
        <v>372</v>
      </c>
      <c r="D385" s="137" t="s">
        <v>63</v>
      </c>
      <c r="E385" s="116">
        <v>1</v>
      </c>
      <c r="F385" s="81">
        <v>350</v>
      </c>
      <c r="G385" s="82">
        <f t="shared" si="100"/>
        <v>350</v>
      </c>
      <c r="H385" s="82">
        <f t="shared" si="101"/>
        <v>115.5</v>
      </c>
      <c r="I385" s="82">
        <f t="shared" si="102"/>
        <v>465.5</v>
      </c>
      <c r="J385" s="89"/>
      <c r="K385" s="104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</row>
    <row r="386" spans="1:24" ht="14.25" x14ac:dyDescent="0.2">
      <c r="A386" s="103"/>
      <c r="B386" s="144"/>
      <c r="C386" s="113" t="s">
        <v>373</v>
      </c>
      <c r="D386" s="137" t="s">
        <v>63</v>
      </c>
      <c r="E386" s="116">
        <v>1</v>
      </c>
      <c r="F386" s="81">
        <v>250</v>
      </c>
      <c r="G386" s="82">
        <f t="shared" si="100"/>
        <v>250</v>
      </c>
      <c r="H386" s="82">
        <f t="shared" si="101"/>
        <v>82.5</v>
      </c>
      <c r="I386" s="82">
        <f t="shared" si="102"/>
        <v>332.5</v>
      </c>
      <c r="J386" s="89"/>
      <c r="K386" s="104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</row>
    <row r="387" spans="1:24" ht="14.25" x14ac:dyDescent="0.2">
      <c r="A387" s="103"/>
      <c r="B387" s="144"/>
      <c r="C387" s="113" t="s">
        <v>374</v>
      </c>
      <c r="D387" s="137" t="s">
        <v>63</v>
      </c>
      <c r="E387" s="116">
        <v>2</v>
      </c>
      <c r="F387" s="81">
        <v>65</v>
      </c>
      <c r="G387" s="82">
        <f t="shared" si="100"/>
        <v>130</v>
      </c>
      <c r="H387" s="82">
        <f t="shared" si="101"/>
        <v>42.9</v>
      </c>
      <c r="I387" s="82">
        <f t="shared" si="102"/>
        <v>172.9</v>
      </c>
      <c r="J387" s="89"/>
      <c r="K387" s="104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</row>
    <row r="388" spans="1:24" ht="14.25" x14ac:dyDescent="0.2">
      <c r="A388" s="103"/>
      <c r="B388" s="144"/>
      <c r="C388" s="113"/>
      <c r="D388" s="137"/>
      <c r="E388" s="116"/>
      <c r="F388" s="81"/>
      <c r="G388" s="82"/>
      <c r="H388" s="82"/>
      <c r="I388" s="82"/>
      <c r="J388" s="89"/>
      <c r="K388" s="104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</row>
    <row r="389" spans="1:24" x14ac:dyDescent="0.25">
      <c r="A389" s="103"/>
      <c r="B389" s="146" t="s">
        <v>247</v>
      </c>
      <c r="C389" s="113"/>
      <c r="D389" s="137"/>
      <c r="E389" s="116"/>
      <c r="F389" s="81"/>
      <c r="G389" s="82"/>
      <c r="H389" s="82"/>
      <c r="I389" s="82"/>
      <c r="J389" s="89"/>
      <c r="K389" s="104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</row>
    <row r="390" spans="1:24" ht="14.25" x14ac:dyDescent="0.2">
      <c r="A390" s="103"/>
      <c r="B390" s="144" t="s">
        <v>151</v>
      </c>
      <c r="C390" s="113" t="s">
        <v>364</v>
      </c>
      <c r="D390" s="137" t="s">
        <v>63</v>
      </c>
      <c r="E390" s="116">
        <v>1</v>
      </c>
      <c r="F390" s="81">
        <v>600</v>
      </c>
      <c r="G390" s="82">
        <f t="shared" si="97"/>
        <v>600</v>
      </c>
      <c r="H390" s="82">
        <f t="shared" si="98"/>
        <v>198</v>
      </c>
      <c r="I390" s="82">
        <f t="shared" si="99"/>
        <v>798</v>
      </c>
      <c r="J390" s="89"/>
      <c r="K390" s="104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</row>
    <row r="391" spans="1:24" ht="14.25" x14ac:dyDescent="0.2">
      <c r="A391" s="103"/>
      <c r="B391" s="144"/>
      <c r="C391" s="113" t="s">
        <v>365</v>
      </c>
      <c r="D391" s="137" t="s">
        <v>63</v>
      </c>
      <c r="E391" s="116">
        <v>1</v>
      </c>
      <c r="F391" s="81">
        <v>50</v>
      </c>
      <c r="G391" s="82">
        <f t="shared" si="97"/>
        <v>50</v>
      </c>
      <c r="H391" s="82">
        <f t="shared" si="98"/>
        <v>16.5</v>
      </c>
      <c r="I391" s="82">
        <f t="shared" si="99"/>
        <v>66.5</v>
      </c>
      <c r="J391" s="89"/>
      <c r="K391" s="104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</row>
    <row r="392" spans="1:24" ht="14.25" x14ac:dyDescent="0.2">
      <c r="A392" s="103"/>
      <c r="B392" s="144"/>
      <c r="C392" s="113" t="s">
        <v>366</v>
      </c>
      <c r="D392" s="137" t="s">
        <v>63</v>
      </c>
      <c r="E392" s="116">
        <v>1</v>
      </c>
      <c r="F392" s="81">
        <v>400</v>
      </c>
      <c r="G392" s="82">
        <f t="shared" si="97"/>
        <v>400</v>
      </c>
      <c r="H392" s="82">
        <f t="shared" si="98"/>
        <v>132</v>
      </c>
      <c r="I392" s="82">
        <f t="shared" si="99"/>
        <v>532</v>
      </c>
      <c r="J392" s="89"/>
      <c r="K392" s="104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</row>
    <row r="393" spans="1:24" ht="14.25" x14ac:dyDescent="0.2">
      <c r="A393" s="103"/>
      <c r="B393" s="144"/>
      <c r="C393" s="113" t="s">
        <v>367</v>
      </c>
      <c r="D393" s="137" t="s">
        <v>63</v>
      </c>
      <c r="E393" s="116">
        <v>1</v>
      </c>
      <c r="F393" s="81">
        <v>200</v>
      </c>
      <c r="G393" s="82">
        <f t="shared" si="97"/>
        <v>200</v>
      </c>
      <c r="H393" s="82">
        <f t="shared" si="98"/>
        <v>66</v>
      </c>
      <c r="I393" s="82">
        <f t="shared" si="99"/>
        <v>266</v>
      </c>
      <c r="J393" s="89"/>
      <c r="K393" s="104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</row>
    <row r="394" spans="1:24" ht="14.25" x14ac:dyDescent="0.2">
      <c r="A394" s="103"/>
      <c r="B394" s="144"/>
      <c r="C394" s="113" t="s">
        <v>368</v>
      </c>
      <c r="D394" s="137" t="s">
        <v>63</v>
      </c>
      <c r="E394" s="116">
        <v>1</v>
      </c>
      <c r="F394" s="81">
        <v>350</v>
      </c>
      <c r="G394" s="82">
        <f t="shared" si="97"/>
        <v>350</v>
      </c>
      <c r="H394" s="82">
        <f t="shared" si="98"/>
        <v>115.5</v>
      </c>
      <c r="I394" s="82">
        <f t="shared" si="99"/>
        <v>465.5</v>
      </c>
      <c r="J394" s="89"/>
      <c r="K394" s="104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</row>
    <row r="395" spans="1:24" ht="14.25" x14ac:dyDescent="0.2">
      <c r="A395" s="103"/>
      <c r="B395" s="144"/>
      <c r="C395" s="113" t="s">
        <v>369</v>
      </c>
      <c r="D395" s="137" t="s">
        <v>63</v>
      </c>
      <c r="E395" s="116">
        <v>1</v>
      </c>
      <c r="F395" s="81">
        <v>150</v>
      </c>
      <c r="G395" s="82">
        <f t="shared" si="97"/>
        <v>150</v>
      </c>
      <c r="H395" s="82">
        <f t="shared" si="98"/>
        <v>49.5</v>
      </c>
      <c r="I395" s="82">
        <f t="shared" si="99"/>
        <v>199.5</v>
      </c>
      <c r="J395" s="89"/>
      <c r="K395" s="104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</row>
    <row r="396" spans="1:24" ht="14.25" x14ac:dyDescent="0.2">
      <c r="A396" s="103"/>
      <c r="B396" s="144"/>
      <c r="C396" s="113" t="s">
        <v>370</v>
      </c>
      <c r="D396" s="137" t="s">
        <v>63</v>
      </c>
      <c r="E396" s="116">
        <v>1</v>
      </c>
      <c r="F396" s="81">
        <v>350</v>
      </c>
      <c r="G396" s="82">
        <f t="shared" si="97"/>
        <v>350</v>
      </c>
      <c r="H396" s="82">
        <f t="shared" si="98"/>
        <v>115.5</v>
      </c>
      <c r="I396" s="82">
        <f t="shared" si="99"/>
        <v>465.5</v>
      </c>
      <c r="J396" s="89"/>
      <c r="K396" s="104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</row>
    <row r="397" spans="1:24" ht="14.25" x14ac:dyDescent="0.2">
      <c r="A397" s="103"/>
      <c r="B397" s="144"/>
      <c r="C397" s="113" t="s">
        <v>371</v>
      </c>
      <c r="D397" s="137" t="s">
        <v>63</v>
      </c>
      <c r="E397" s="116">
        <v>2</v>
      </c>
      <c r="F397" s="81">
        <v>20</v>
      </c>
      <c r="G397" s="82">
        <f t="shared" si="97"/>
        <v>40</v>
      </c>
      <c r="H397" s="82">
        <f t="shared" si="98"/>
        <v>13.200000000000001</v>
      </c>
      <c r="I397" s="82">
        <f t="shared" si="99"/>
        <v>53.2</v>
      </c>
      <c r="J397" s="89"/>
      <c r="K397" s="104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</row>
    <row r="398" spans="1:24" ht="14.25" x14ac:dyDescent="0.2">
      <c r="A398" s="103"/>
      <c r="B398" s="144"/>
      <c r="C398" s="113" t="s">
        <v>374</v>
      </c>
      <c r="D398" s="137" t="s">
        <v>63</v>
      </c>
      <c r="E398" s="116">
        <v>2</v>
      </c>
      <c r="F398" s="81">
        <v>65</v>
      </c>
      <c r="G398" s="82">
        <f t="shared" si="97"/>
        <v>130</v>
      </c>
      <c r="H398" s="82">
        <f t="shared" si="98"/>
        <v>42.9</v>
      </c>
      <c r="I398" s="82">
        <f t="shared" si="99"/>
        <v>172.9</v>
      </c>
      <c r="J398" s="89"/>
      <c r="K398" s="104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</row>
    <row r="399" spans="1:24" ht="14.25" x14ac:dyDescent="0.2">
      <c r="A399" s="103"/>
      <c r="B399" s="144"/>
      <c r="C399" s="113"/>
      <c r="D399" s="137"/>
      <c r="E399" s="116"/>
      <c r="F399" s="81"/>
      <c r="G399" s="82"/>
      <c r="H399" s="82"/>
      <c r="I399" s="82"/>
      <c r="J399" s="89"/>
      <c r="K399" s="104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</row>
    <row r="400" spans="1:24" ht="14.25" x14ac:dyDescent="0.2">
      <c r="A400" s="103"/>
      <c r="B400" s="144" t="s">
        <v>152</v>
      </c>
      <c r="C400" s="113" t="s">
        <v>375</v>
      </c>
      <c r="D400" s="137" t="s">
        <v>63</v>
      </c>
      <c r="E400" s="116">
        <v>1</v>
      </c>
      <c r="F400" s="81">
        <v>500</v>
      </c>
      <c r="G400" s="82">
        <f t="shared" si="97"/>
        <v>500</v>
      </c>
      <c r="H400" s="82">
        <f t="shared" si="98"/>
        <v>165</v>
      </c>
      <c r="I400" s="82">
        <f t="shared" si="99"/>
        <v>665</v>
      </c>
      <c r="J400" s="89"/>
      <c r="K400" s="104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</row>
    <row r="401" spans="1:24" ht="14.25" x14ac:dyDescent="0.2">
      <c r="A401" s="103"/>
      <c r="B401" s="144"/>
      <c r="C401" s="113" t="s">
        <v>376</v>
      </c>
      <c r="D401" s="137" t="s">
        <v>63</v>
      </c>
      <c r="E401" s="116">
        <v>1</v>
      </c>
      <c r="F401" s="81">
        <v>450</v>
      </c>
      <c r="G401" s="82">
        <f t="shared" si="97"/>
        <v>450</v>
      </c>
      <c r="H401" s="82">
        <f t="shared" si="98"/>
        <v>148.5</v>
      </c>
      <c r="I401" s="82">
        <f t="shared" si="99"/>
        <v>598.5</v>
      </c>
      <c r="J401" s="89"/>
      <c r="K401" s="104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</row>
    <row r="402" spans="1:24" thickBot="1" x14ac:dyDescent="0.25">
      <c r="A402" s="103"/>
      <c r="B402" s="144"/>
      <c r="C402" s="113"/>
      <c r="D402" s="137"/>
      <c r="E402" s="116"/>
      <c r="F402" s="81"/>
      <c r="G402" s="82"/>
      <c r="H402" s="82"/>
      <c r="I402" s="82"/>
      <c r="J402" s="89"/>
      <c r="K402" s="104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</row>
    <row r="403" spans="1:24" ht="15.75" customHeight="1" thickBot="1" x14ac:dyDescent="0.3">
      <c r="A403" s="78"/>
      <c r="B403" s="138" t="s">
        <v>90</v>
      </c>
      <c r="C403" s="139" t="s">
        <v>96</v>
      </c>
      <c r="D403" s="64" t="s">
        <v>15</v>
      </c>
      <c r="E403" s="65" t="s">
        <v>16</v>
      </c>
      <c r="F403" s="66" t="s">
        <v>17</v>
      </c>
      <c r="G403" s="66" t="s">
        <v>18</v>
      </c>
      <c r="H403" s="66" t="s">
        <v>7</v>
      </c>
      <c r="I403" s="66" t="s">
        <v>19</v>
      </c>
      <c r="J403" s="67" t="s">
        <v>20</v>
      </c>
      <c r="K403" s="79">
        <f>SUM(I404:I434)</f>
        <v>22862.700000000008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4.25" x14ac:dyDescent="0.2">
      <c r="A404" s="103"/>
      <c r="B404" s="144"/>
      <c r="C404" s="113"/>
      <c r="D404" s="137"/>
      <c r="E404" s="116"/>
      <c r="F404" s="81"/>
      <c r="G404" s="82"/>
      <c r="H404" s="82"/>
      <c r="I404" s="82"/>
      <c r="J404" s="89"/>
      <c r="K404" s="104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</row>
    <row r="405" spans="1:24" x14ac:dyDescent="0.25">
      <c r="A405" s="103"/>
      <c r="B405" s="146" t="s">
        <v>377</v>
      </c>
      <c r="C405" s="113" t="s">
        <v>378</v>
      </c>
      <c r="D405" s="137" t="s">
        <v>5</v>
      </c>
      <c r="E405" s="116">
        <v>8</v>
      </c>
      <c r="F405" s="81">
        <v>65</v>
      </c>
      <c r="G405" s="82">
        <f t="shared" ref="G405:G433" si="103">F405*E405</f>
        <v>520</v>
      </c>
      <c r="H405" s="82">
        <f t="shared" ref="H405:H433" si="104">+G405*$J$11</f>
        <v>171.6</v>
      </c>
      <c r="I405" s="82">
        <f t="shared" ref="I405:I433" si="105">H405+G405</f>
        <v>691.6</v>
      </c>
      <c r="J405" s="89"/>
      <c r="K405" s="104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</row>
    <row r="406" spans="1:24" ht="14.25" x14ac:dyDescent="0.2">
      <c r="A406" s="103"/>
      <c r="B406" s="144"/>
      <c r="C406" s="113" t="s">
        <v>379</v>
      </c>
      <c r="D406" s="137" t="s">
        <v>5</v>
      </c>
      <c r="E406" s="116">
        <v>6</v>
      </c>
      <c r="F406" s="81">
        <v>65</v>
      </c>
      <c r="G406" s="82">
        <f t="shared" si="103"/>
        <v>390</v>
      </c>
      <c r="H406" s="82">
        <f t="shared" si="104"/>
        <v>128.70000000000002</v>
      </c>
      <c r="I406" s="82">
        <f t="shared" si="105"/>
        <v>518.70000000000005</v>
      </c>
      <c r="J406" s="89"/>
      <c r="K406" s="104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</row>
    <row r="407" spans="1:24" ht="14.25" x14ac:dyDescent="0.2">
      <c r="A407" s="103"/>
      <c r="B407" s="144"/>
      <c r="C407" s="113" t="s">
        <v>380</v>
      </c>
      <c r="D407" s="137" t="s">
        <v>5</v>
      </c>
      <c r="E407" s="116">
        <v>2</v>
      </c>
      <c r="F407" s="81">
        <v>65</v>
      </c>
      <c r="G407" s="82">
        <f t="shared" si="103"/>
        <v>130</v>
      </c>
      <c r="H407" s="82">
        <f t="shared" si="104"/>
        <v>42.9</v>
      </c>
      <c r="I407" s="82">
        <f t="shared" si="105"/>
        <v>172.9</v>
      </c>
      <c r="J407" s="89"/>
      <c r="K407" s="104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</row>
    <row r="408" spans="1:24" ht="14.25" x14ac:dyDescent="0.2">
      <c r="A408" s="103"/>
      <c r="B408" s="144"/>
      <c r="C408" s="113"/>
      <c r="D408" s="137"/>
      <c r="E408" s="116"/>
      <c r="F408" s="81"/>
      <c r="G408" s="82"/>
      <c r="H408" s="82"/>
      <c r="I408" s="82"/>
      <c r="J408" s="89"/>
      <c r="K408" s="104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</row>
    <row r="409" spans="1:24" x14ac:dyDescent="0.25">
      <c r="A409" s="103"/>
      <c r="B409" s="146" t="s">
        <v>387</v>
      </c>
      <c r="C409" s="113"/>
      <c r="D409" s="137"/>
      <c r="E409" s="116"/>
      <c r="F409" s="81"/>
      <c r="G409" s="82"/>
      <c r="H409" s="82"/>
      <c r="I409" s="82"/>
      <c r="J409" s="89"/>
      <c r="K409" s="104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</row>
    <row r="410" spans="1:24" ht="14.25" x14ac:dyDescent="0.2">
      <c r="A410" s="103"/>
      <c r="B410" s="144" t="s">
        <v>242</v>
      </c>
      <c r="C410" s="113" t="s">
        <v>381</v>
      </c>
      <c r="D410" s="137" t="s">
        <v>5</v>
      </c>
      <c r="E410" s="116">
        <v>128</v>
      </c>
      <c r="F410" s="81">
        <v>25</v>
      </c>
      <c r="G410" s="82">
        <f t="shared" si="103"/>
        <v>3200</v>
      </c>
      <c r="H410" s="82">
        <f t="shared" si="104"/>
        <v>1056</v>
      </c>
      <c r="I410" s="82">
        <f t="shared" si="105"/>
        <v>4256</v>
      </c>
      <c r="J410" s="89"/>
      <c r="K410" s="104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</row>
    <row r="411" spans="1:24" ht="14.25" x14ac:dyDescent="0.2">
      <c r="A411" s="103"/>
      <c r="B411" s="144"/>
      <c r="C411" s="113"/>
      <c r="D411" s="137"/>
      <c r="E411" s="116"/>
      <c r="F411" s="81"/>
      <c r="G411" s="82"/>
      <c r="H411" s="82"/>
      <c r="I411" s="82"/>
      <c r="J411" s="89"/>
      <c r="K411" s="104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</row>
    <row r="412" spans="1:24" ht="14.25" x14ac:dyDescent="0.2">
      <c r="A412" s="103"/>
      <c r="B412" s="144" t="s">
        <v>247</v>
      </c>
      <c r="C412" s="113" t="s">
        <v>382</v>
      </c>
      <c r="D412" s="137" t="s">
        <v>5</v>
      </c>
      <c r="E412" s="116">
        <v>180</v>
      </c>
      <c r="F412" s="81">
        <v>25</v>
      </c>
      <c r="G412" s="82">
        <f t="shared" si="103"/>
        <v>4500</v>
      </c>
      <c r="H412" s="82">
        <f t="shared" si="104"/>
        <v>1485</v>
      </c>
      <c r="I412" s="82">
        <f t="shared" si="105"/>
        <v>5985</v>
      </c>
      <c r="J412" s="89"/>
      <c r="K412" s="104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</row>
    <row r="413" spans="1:24" ht="14.25" x14ac:dyDescent="0.2">
      <c r="A413" s="103"/>
      <c r="B413" s="144"/>
      <c r="C413" s="113" t="s">
        <v>383</v>
      </c>
      <c r="D413" s="137" t="s">
        <v>5</v>
      </c>
      <c r="E413" s="116">
        <v>39</v>
      </c>
      <c r="F413" s="81">
        <v>25</v>
      </c>
      <c r="G413" s="82">
        <f t="shared" si="103"/>
        <v>975</v>
      </c>
      <c r="H413" s="82">
        <f t="shared" si="104"/>
        <v>321.75</v>
      </c>
      <c r="I413" s="82">
        <f t="shared" si="105"/>
        <v>1296.75</v>
      </c>
      <c r="J413" s="89"/>
      <c r="K413" s="104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</row>
    <row r="414" spans="1:24" ht="14.25" x14ac:dyDescent="0.2">
      <c r="A414" s="103"/>
      <c r="B414" s="144"/>
      <c r="C414" s="113"/>
      <c r="D414" s="137"/>
      <c r="E414" s="116"/>
      <c r="F414" s="81"/>
      <c r="G414" s="82"/>
      <c r="H414" s="82"/>
      <c r="I414" s="82"/>
      <c r="J414" s="89"/>
      <c r="K414" s="104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</row>
    <row r="415" spans="1:24" x14ac:dyDescent="0.25">
      <c r="A415" s="103"/>
      <c r="B415" s="146" t="s">
        <v>94</v>
      </c>
      <c r="C415" s="113"/>
      <c r="D415" s="137"/>
      <c r="E415" s="116"/>
      <c r="F415" s="81"/>
      <c r="G415" s="82"/>
      <c r="H415" s="82"/>
      <c r="I415" s="82"/>
      <c r="J415" s="89"/>
      <c r="K415" s="104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</row>
    <row r="416" spans="1:24" ht="14.25" x14ac:dyDescent="0.2">
      <c r="A416" s="103"/>
      <c r="B416" s="144" t="s">
        <v>302</v>
      </c>
      <c r="C416" s="113"/>
      <c r="D416" s="137"/>
      <c r="E416" s="116"/>
      <c r="F416" s="81"/>
      <c r="G416" s="82"/>
      <c r="H416" s="82"/>
      <c r="I416" s="82"/>
      <c r="J416" s="89"/>
      <c r="K416" s="104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</row>
    <row r="417" spans="1:24" ht="14.25" x14ac:dyDescent="0.2">
      <c r="A417" s="103"/>
      <c r="B417" s="144" t="s">
        <v>100</v>
      </c>
      <c r="C417" s="113" t="s">
        <v>304</v>
      </c>
      <c r="D417" s="137" t="s">
        <v>5</v>
      </c>
      <c r="E417" s="116">
        <v>10</v>
      </c>
      <c r="F417" s="81">
        <v>20</v>
      </c>
      <c r="G417" s="82">
        <f t="shared" si="103"/>
        <v>200</v>
      </c>
      <c r="H417" s="82">
        <f t="shared" si="104"/>
        <v>66</v>
      </c>
      <c r="I417" s="82">
        <f t="shared" si="105"/>
        <v>266</v>
      </c>
      <c r="J417" s="89"/>
      <c r="K417" s="104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</row>
    <row r="418" spans="1:24" ht="14.25" x14ac:dyDescent="0.2">
      <c r="A418" s="103"/>
      <c r="B418" s="144"/>
      <c r="C418" s="113" t="s">
        <v>150</v>
      </c>
      <c r="D418" s="137" t="s">
        <v>42</v>
      </c>
      <c r="E418" s="116">
        <v>13</v>
      </c>
      <c r="F418" s="81">
        <v>5</v>
      </c>
      <c r="G418" s="82">
        <f t="shared" si="103"/>
        <v>65</v>
      </c>
      <c r="H418" s="82">
        <f t="shared" si="104"/>
        <v>21.45</v>
      </c>
      <c r="I418" s="82">
        <f t="shared" si="105"/>
        <v>86.45</v>
      </c>
      <c r="J418" s="89"/>
      <c r="K418" s="104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</row>
    <row r="419" spans="1:24" ht="14.25" x14ac:dyDescent="0.2">
      <c r="A419" s="103"/>
      <c r="B419" s="144"/>
      <c r="C419" s="113"/>
      <c r="D419" s="137"/>
      <c r="E419" s="116"/>
      <c r="F419" s="81"/>
      <c r="G419" s="82"/>
      <c r="H419" s="82"/>
      <c r="I419" s="82"/>
      <c r="J419" s="89"/>
      <c r="K419" s="104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</row>
    <row r="420" spans="1:24" ht="14.25" x14ac:dyDescent="0.2">
      <c r="A420" s="103"/>
      <c r="B420" s="144" t="s">
        <v>247</v>
      </c>
      <c r="C420" s="113"/>
      <c r="D420" s="137"/>
      <c r="E420" s="116"/>
      <c r="F420" s="81"/>
      <c r="G420" s="82"/>
      <c r="H420" s="82"/>
      <c r="I420" s="82"/>
      <c r="J420" s="89"/>
      <c r="K420" s="104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</row>
    <row r="421" spans="1:24" ht="14.25" x14ac:dyDescent="0.2">
      <c r="A421" s="103"/>
      <c r="B421" s="144" t="s">
        <v>101</v>
      </c>
      <c r="C421" s="113" t="s">
        <v>133</v>
      </c>
      <c r="D421" s="137" t="s">
        <v>5</v>
      </c>
      <c r="E421" s="116">
        <v>172</v>
      </c>
      <c r="F421" s="81">
        <v>15</v>
      </c>
      <c r="G421" s="82">
        <f t="shared" si="103"/>
        <v>2580</v>
      </c>
      <c r="H421" s="82">
        <f t="shared" si="104"/>
        <v>851.40000000000009</v>
      </c>
      <c r="I421" s="82">
        <f t="shared" si="105"/>
        <v>3431.4</v>
      </c>
      <c r="J421" s="89"/>
      <c r="K421" s="104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</row>
    <row r="422" spans="1:24" ht="14.25" x14ac:dyDescent="0.2">
      <c r="A422" s="103"/>
      <c r="B422" s="144"/>
      <c r="C422" s="113"/>
      <c r="D422" s="137"/>
      <c r="E422" s="116"/>
      <c r="F422" s="81"/>
      <c r="G422" s="82"/>
      <c r="H422" s="82"/>
      <c r="I422" s="82"/>
      <c r="J422" s="89"/>
      <c r="K422" s="104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</row>
    <row r="423" spans="1:24" ht="14.25" x14ac:dyDescent="0.2">
      <c r="A423" s="103"/>
      <c r="B423" s="144" t="s">
        <v>100</v>
      </c>
      <c r="C423" s="113" t="s">
        <v>304</v>
      </c>
      <c r="D423" s="137" t="s">
        <v>5</v>
      </c>
      <c r="E423" s="116">
        <v>4</v>
      </c>
      <c r="F423" s="81">
        <v>20</v>
      </c>
      <c r="G423" s="82">
        <f t="shared" si="103"/>
        <v>80</v>
      </c>
      <c r="H423" s="82">
        <f t="shared" si="104"/>
        <v>26.400000000000002</v>
      </c>
      <c r="I423" s="82">
        <f t="shared" si="105"/>
        <v>106.4</v>
      </c>
      <c r="J423" s="89"/>
      <c r="K423" s="104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</row>
    <row r="424" spans="1:24" ht="14.25" x14ac:dyDescent="0.2">
      <c r="A424" s="103"/>
      <c r="B424" s="144"/>
      <c r="C424" s="113" t="s">
        <v>307</v>
      </c>
      <c r="D424" s="137" t="s">
        <v>42</v>
      </c>
      <c r="E424" s="116">
        <v>6</v>
      </c>
      <c r="F424" s="81">
        <v>5</v>
      </c>
      <c r="G424" s="82">
        <f t="shared" si="103"/>
        <v>30</v>
      </c>
      <c r="H424" s="82">
        <f t="shared" si="104"/>
        <v>9.9</v>
      </c>
      <c r="I424" s="82">
        <f t="shared" si="105"/>
        <v>39.9</v>
      </c>
      <c r="J424" s="89"/>
      <c r="K424" s="104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</row>
    <row r="425" spans="1:24" ht="14.25" x14ac:dyDescent="0.2">
      <c r="A425" s="103"/>
      <c r="B425" s="144"/>
      <c r="C425" s="113"/>
      <c r="D425" s="137"/>
      <c r="E425" s="116"/>
      <c r="F425" s="81"/>
      <c r="G425" s="82"/>
      <c r="H425" s="82"/>
      <c r="I425" s="82"/>
      <c r="J425" s="89"/>
      <c r="K425" s="104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</row>
    <row r="426" spans="1:24" x14ac:dyDescent="0.25">
      <c r="A426" s="103"/>
      <c r="B426" s="146" t="s">
        <v>388</v>
      </c>
      <c r="C426" s="113"/>
      <c r="D426" s="137"/>
      <c r="E426" s="116"/>
      <c r="F426" s="81"/>
      <c r="G426" s="82"/>
      <c r="H426" s="82"/>
      <c r="I426" s="82"/>
      <c r="J426" s="89"/>
      <c r="K426" s="104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</row>
    <row r="427" spans="1:24" ht="28.5" x14ac:dyDescent="0.2">
      <c r="A427" s="103"/>
      <c r="B427" s="144" t="s">
        <v>247</v>
      </c>
      <c r="C427" s="113" t="s">
        <v>320</v>
      </c>
      <c r="D427" s="137" t="s">
        <v>5</v>
      </c>
      <c r="E427" s="116">
        <v>91</v>
      </c>
      <c r="F427" s="81">
        <v>25</v>
      </c>
      <c r="G427" s="82">
        <f t="shared" si="103"/>
        <v>2275</v>
      </c>
      <c r="H427" s="82">
        <f t="shared" si="104"/>
        <v>750.75</v>
      </c>
      <c r="I427" s="82">
        <f t="shared" si="105"/>
        <v>3025.75</v>
      </c>
      <c r="J427" s="89"/>
      <c r="K427" s="104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</row>
    <row r="428" spans="1:24" ht="28.5" x14ac:dyDescent="0.2">
      <c r="A428" s="103"/>
      <c r="B428" s="144"/>
      <c r="C428" s="113" t="s">
        <v>321</v>
      </c>
      <c r="D428" s="137" t="s">
        <v>5</v>
      </c>
      <c r="E428" s="116">
        <v>15</v>
      </c>
      <c r="F428" s="81">
        <v>25</v>
      </c>
      <c r="G428" s="82">
        <f t="shared" si="103"/>
        <v>375</v>
      </c>
      <c r="H428" s="82">
        <f t="shared" si="104"/>
        <v>123.75</v>
      </c>
      <c r="I428" s="82">
        <f t="shared" si="105"/>
        <v>498.75</v>
      </c>
      <c r="J428" s="89"/>
      <c r="K428" s="104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</row>
    <row r="429" spans="1:24" ht="28.5" x14ac:dyDescent="0.25">
      <c r="A429" s="103"/>
      <c r="B429" s="146"/>
      <c r="C429" s="113" t="s">
        <v>322</v>
      </c>
      <c r="D429" s="137" t="s">
        <v>42</v>
      </c>
      <c r="E429" s="116">
        <v>12</v>
      </c>
      <c r="F429" s="81">
        <v>45</v>
      </c>
      <c r="G429" s="82">
        <f t="shared" si="103"/>
        <v>540</v>
      </c>
      <c r="H429" s="82">
        <f t="shared" si="104"/>
        <v>178.20000000000002</v>
      </c>
      <c r="I429" s="82">
        <f t="shared" si="105"/>
        <v>718.2</v>
      </c>
      <c r="J429" s="89"/>
      <c r="K429" s="104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</row>
    <row r="430" spans="1:24" x14ac:dyDescent="0.25">
      <c r="A430" s="103"/>
      <c r="B430" s="146"/>
      <c r="C430" s="113" t="s">
        <v>384</v>
      </c>
      <c r="D430" s="137" t="s">
        <v>25</v>
      </c>
      <c r="E430" s="116">
        <v>1</v>
      </c>
      <c r="F430" s="81">
        <v>350</v>
      </c>
      <c r="G430" s="82">
        <f t="shared" si="103"/>
        <v>350</v>
      </c>
      <c r="H430" s="82">
        <f t="shared" si="104"/>
        <v>115.5</v>
      </c>
      <c r="I430" s="82">
        <f t="shared" si="105"/>
        <v>465.5</v>
      </c>
      <c r="J430" s="89"/>
      <c r="K430" s="104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</row>
    <row r="431" spans="1:24" x14ac:dyDescent="0.25">
      <c r="A431" s="103"/>
      <c r="B431" s="146"/>
      <c r="C431" s="113" t="s">
        <v>385</v>
      </c>
      <c r="D431" s="137" t="s">
        <v>25</v>
      </c>
      <c r="E431" s="116">
        <v>1</v>
      </c>
      <c r="F431" s="81">
        <v>300</v>
      </c>
      <c r="G431" s="82">
        <f t="shared" si="103"/>
        <v>300</v>
      </c>
      <c r="H431" s="82">
        <f t="shared" si="104"/>
        <v>99</v>
      </c>
      <c r="I431" s="82">
        <f t="shared" si="105"/>
        <v>399</v>
      </c>
      <c r="J431" s="89"/>
      <c r="K431" s="104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</row>
    <row r="432" spans="1:24" x14ac:dyDescent="0.25">
      <c r="A432" s="103"/>
      <c r="B432" s="146"/>
      <c r="C432" s="113" t="s">
        <v>386</v>
      </c>
      <c r="D432" s="137" t="s">
        <v>25</v>
      </c>
      <c r="E432" s="116">
        <v>2</v>
      </c>
      <c r="F432" s="81">
        <v>250</v>
      </c>
      <c r="G432" s="82">
        <f t="shared" si="103"/>
        <v>500</v>
      </c>
      <c r="H432" s="82">
        <f t="shared" si="104"/>
        <v>165</v>
      </c>
      <c r="I432" s="82">
        <f t="shared" si="105"/>
        <v>665</v>
      </c>
      <c r="J432" s="89"/>
      <c r="K432" s="104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</row>
    <row r="433" spans="1:24" ht="28.5" x14ac:dyDescent="0.25">
      <c r="A433" s="103"/>
      <c r="B433" s="146"/>
      <c r="C433" s="113" t="s">
        <v>327</v>
      </c>
      <c r="D433" s="137" t="s">
        <v>41</v>
      </c>
      <c r="E433" s="116">
        <v>36</v>
      </c>
      <c r="F433" s="81">
        <v>5</v>
      </c>
      <c r="G433" s="82">
        <f t="shared" si="103"/>
        <v>180</v>
      </c>
      <c r="H433" s="82">
        <f t="shared" si="104"/>
        <v>59.400000000000006</v>
      </c>
      <c r="I433" s="82">
        <f t="shared" si="105"/>
        <v>239.4</v>
      </c>
      <c r="J433" s="89"/>
      <c r="K433" s="104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</row>
    <row r="434" spans="1:24" thickBot="1" x14ac:dyDescent="0.25">
      <c r="A434" s="103"/>
      <c r="B434" s="144"/>
      <c r="C434" s="113"/>
      <c r="D434" s="137"/>
      <c r="E434" s="116"/>
      <c r="F434" s="81"/>
      <c r="G434" s="82"/>
      <c r="H434" s="82"/>
      <c r="I434" s="82"/>
      <c r="J434" s="89"/>
      <c r="K434" s="104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</row>
    <row r="435" spans="1:24" ht="15.75" customHeight="1" thickBot="1" x14ac:dyDescent="0.3">
      <c r="A435" s="78"/>
      <c r="B435" s="138" t="s">
        <v>91</v>
      </c>
      <c r="C435" s="139" t="s">
        <v>389</v>
      </c>
      <c r="D435" s="64" t="s">
        <v>15</v>
      </c>
      <c r="E435" s="65" t="s">
        <v>16</v>
      </c>
      <c r="F435" s="66" t="s">
        <v>17</v>
      </c>
      <c r="G435" s="66" t="s">
        <v>18</v>
      </c>
      <c r="H435" s="66" t="s">
        <v>7</v>
      </c>
      <c r="I435" s="66" t="s">
        <v>19</v>
      </c>
      <c r="J435" s="67" t="s">
        <v>20</v>
      </c>
      <c r="K435" s="79">
        <f>SUM(I436:I438)</f>
        <v>15960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4.25" x14ac:dyDescent="0.2">
      <c r="A436" s="103"/>
      <c r="B436" s="144"/>
      <c r="C436" s="113"/>
      <c r="D436" s="137"/>
      <c r="E436" s="116"/>
      <c r="F436" s="81"/>
      <c r="G436" s="82"/>
      <c r="H436" s="82"/>
      <c r="I436" s="82"/>
      <c r="J436" s="89"/>
      <c r="K436" s="104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</row>
    <row r="437" spans="1:24" ht="28.5" x14ac:dyDescent="0.2">
      <c r="A437" s="103"/>
      <c r="B437" s="144"/>
      <c r="C437" s="113" t="s">
        <v>390</v>
      </c>
      <c r="D437" s="137" t="s">
        <v>63</v>
      </c>
      <c r="E437" s="116">
        <v>1</v>
      </c>
      <c r="F437" s="81">
        <v>12000</v>
      </c>
      <c r="G437" s="82">
        <f t="shared" ref="G437" si="106">F437*E437</f>
        <v>12000</v>
      </c>
      <c r="H437" s="82">
        <f t="shared" ref="H437" si="107">+G437*$J$11</f>
        <v>3960</v>
      </c>
      <c r="I437" s="82">
        <f t="shared" ref="I437" si="108">H437+G437</f>
        <v>15960</v>
      </c>
      <c r="J437" s="89"/>
      <c r="K437" s="104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</row>
    <row r="438" spans="1:24" thickBot="1" x14ac:dyDescent="0.25">
      <c r="A438" s="103"/>
      <c r="B438" s="144"/>
      <c r="C438" s="113"/>
      <c r="D438" s="137"/>
      <c r="E438" s="116"/>
      <c r="F438" s="81"/>
      <c r="G438" s="82"/>
      <c r="H438" s="82"/>
      <c r="I438" s="82"/>
      <c r="J438" s="89"/>
      <c r="K438" s="104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</row>
    <row r="439" spans="1:24" ht="15.75" customHeight="1" thickBot="1" x14ac:dyDescent="0.3">
      <c r="A439" s="78"/>
      <c r="B439" s="138" t="s">
        <v>391</v>
      </c>
      <c r="C439" s="139" t="s">
        <v>392</v>
      </c>
      <c r="D439" s="64" t="s">
        <v>15</v>
      </c>
      <c r="E439" s="65" t="s">
        <v>16</v>
      </c>
      <c r="F439" s="66" t="s">
        <v>17</v>
      </c>
      <c r="G439" s="66" t="s">
        <v>18</v>
      </c>
      <c r="H439" s="66" t="s">
        <v>7</v>
      </c>
      <c r="I439" s="66" t="s">
        <v>19</v>
      </c>
      <c r="J439" s="67" t="s">
        <v>20</v>
      </c>
      <c r="K439" s="79">
        <f>SUM(I440:I442)</f>
        <v>106400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4.25" x14ac:dyDescent="0.2">
      <c r="A440" s="103"/>
      <c r="B440" s="144"/>
      <c r="C440" s="113"/>
      <c r="D440" s="137"/>
      <c r="E440" s="116"/>
      <c r="F440" s="81"/>
      <c r="G440" s="82"/>
      <c r="H440" s="82"/>
      <c r="I440" s="82"/>
      <c r="J440" s="89"/>
      <c r="K440" s="104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</row>
    <row r="441" spans="1:24" ht="14.25" x14ac:dyDescent="0.2">
      <c r="A441" s="103"/>
      <c r="B441" s="144"/>
      <c r="C441" s="113" t="s">
        <v>393</v>
      </c>
      <c r="D441" s="137" t="s">
        <v>63</v>
      </c>
      <c r="E441" s="116">
        <v>1</v>
      </c>
      <c r="F441" s="81">
        <v>80000</v>
      </c>
      <c r="G441" s="82">
        <f t="shared" ref="G441" si="109">F441*E441</f>
        <v>80000</v>
      </c>
      <c r="H441" s="82">
        <f t="shared" ref="H441" si="110">+G441*$J$11</f>
        <v>26400</v>
      </c>
      <c r="I441" s="82">
        <f t="shared" ref="I441" si="111">H441+G441</f>
        <v>106400</v>
      </c>
      <c r="J441" s="89"/>
      <c r="K441" s="104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</row>
    <row r="442" spans="1:24" thickBot="1" x14ac:dyDescent="0.25">
      <c r="A442" s="103"/>
      <c r="B442" s="144"/>
      <c r="C442" s="113"/>
      <c r="D442" s="137"/>
      <c r="E442" s="116"/>
      <c r="F442" s="81"/>
      <c r="G442" s="82"/>
      <c r="H442" s="82"/>
      <c r="I442" s="82"/>
      <c r="J442" s="89"/>
      <c r="K442" s="104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</row>
    <row r="443" spans="1:24" ht="15.75" customHeight="1" thickBot="1" x14ac:dyDescent="0.3">
      <c r="A443" s="78"/>
      <c r="B443" s="138" t="s">
        <v>394</v>
      </c>
      <c r="C443" s="139" t="s">
        <v>396</v>
      </c>
      <c r="D443" s="64" t="s">
        <v>15</v>
      </c>
      <c r="E443" s="65" t="s">
        <v>16</v>
      </c>
      <c r="F443" s="66" t="s">
        <v>17</v>
      </c>
      <c r="G443" s="66" t="s">
        <v>18</v>
      </c>
      <c r="H443" s="66" t="s">
        <v>7</v>
      </c>
      <c r="I443" s="66" t="s">
        <v>19</v>
      </c>
      <c r="J443" s="67" t="s">
        <v>20</v>
      </c>
      <c r="K443" s="79">
        <f>SUM(I444:I446)</f>
        <v>13300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4.25" x14ac:dyDescent="0.2">
      <c r="A444" s="103"/>
      <c r="B444" s="144"/>
      <c r="C444" s="113"/>
      <c r="D444" s="137"/>
      <c r="E444" s="116"/>
      <c r="F444" s="81"/>
      <c r="G444" s="82"/>
      <c r="H444" s="82"/>
      <c r="I444" s="82"/>
      <c r="J444" s="89"/>
      <c r="K444" s="104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</row>
    <row r="445" spans="1:24" ht="28.5" x14ac:dyDescent="0.2">
      <c r="A445" s="103"/>
      <c r="B445" s="144"/>
      <c r="C445" s="113" t="s">
        <v>395</v>
      </c>
      <c r="D445" s="137" t="s">
        <v>63</v>
      </c>
      <c r="E445" s="116">
        <v>1</v>
      </c>
      <c r="F445" s="81">
        <v>10000</v>
      </c>
      <c r="G445" s="82">
        <f t="shared" ref="G445" si="112">F445*E445</f>
        <v>10000</v>
      </c>
      <c r="H445" s="82">
        <f t="shared" ref="H445" si="113">+G445*$J$11</f>
        <v>3300</v>
      </c>
      <c r="I445" s="82">
        <f t="shared" ref="I445" si="114">H445+G445</f>
        <v>13300</v>
      </c>
      <c r="J445" s="89"/>
      <c r="K445" s="104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</row>
    <row r="446" spans="1:24" thickBot="1" x14ac:dyDescent="0.25">
      <c r="A446" s="103"/>
      <c r="B446" s="144"/>
      <c r="C446" s="113"/>
      <c r="D446" s="137"/>
      <c r="E446" s="116"/>
      <c r="F446" s="81"/>
      <c r="G446" s="82"/>
      <c r="H446" s="82"/>
      <c r="I446" s="82"/>
      <c r="J446" s="89"/>
      <c r="K446" s="104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</row>
    <row r="447" spans="1:24" ht="15.75" customHeight="1" thickBot="1" x14ac:dyDescent="0.3">
      <c r="A447" s="78"/>
      <c r="B447" s="138" t="s">
        <v>397</v>
      </c>
      <c r="C447" s="139" t="s">
        <v>398</v>
      </c>
      <c r="D447" s="64" t="s">
        <v>15</v>
      </c>
      <c r="E447" s="65" t="s">
        <v>16</v>
      </c>
      <c r="F447" s="66" t="s">
        <v>17</v>
      </c>
      <c r="G447" s="66" t="s">
        <v>18</v>
      </c>
      <c r="H447" s="66" t="s">
        <v>7</v>
      </c>
      <c r="I447" s="66" t="s">
        <v>19</v>
      </c>
      <c r="J447" s="67" t="s">
        <v>20</v>
      </c>
      <c r="K447" s="79">
        <f>SUM(I448:I450)</f>
        <v>26600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4.25" x14ac:dyDescent="0.2">
      <c r="A448" s="103"/>
      <c r="B448" s="144"/>
      <c r="C448" s="113"/>
      <c r="D448" s="137"/>
      <c r="E448" s="116"/>
      <c r="F448" s="81"/>
      <c r="G448" s="82"/>
      <c r="H448" s="82"/>
      <c r="I448" s="82"/>
      <c r="J448" s="89"/>
      <c r="K448" s="104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</row>
    <row r="449" spans="1:24" ht="14.25" x14ac:dyDescent="0.2">
      <c r="A449" s="103"/>
      <c r="B449" s="144"/>
      <c r="C449" s="113" t="s">
        <v>399</v>
      </c>
      <c r="D449" s="137" t="s">
        <v>63</v>
      </c>
      <c r="E449" s="116">
        <v>1</v>
      </c>
      <c r="F449" s="81">
        <v>20000</v>
      </c>
      <c r="G449" s="82">
        <f t="shared" ref="G449" si="115">F449*E449</f>
        <v>20000</v>
      </c>
      <c r="H449" s="82">
        <f t="shared" ref="H449" si="116">+G449*$J$11</f>
        <v>6600</v>
      </c>
      <c r="I449" s="82">
        <f t="shared" ref="I449" si="117">H449+G449</f>
        <v>26600</v>
      </c>
      <c r="J449" s="89"/>
      <c r="K449" s="104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</row>
    <row r="450" spans="1:24" thickBot="1" x14ac:dyDescent="0.25">
      <c r="A450" s="103"/>
      <c r="B450" s="144"/>
      <c r="C450" s="113"/>
      <c r="D450" s="137"/>
      <c r="E450" s="116"/>
      <c r="F450" s="81"/>
      <c r="G450" s="82"/>
      <c r="H450" s="82"/>
      <c r="I450" s="82"/>
      <c r="J450" s="89"/>
      <c r="K450" s="104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</row>
    <row r="451" spans="1:24" ht="15.75" customHeight="1" thickBot="1" x14ac:dyDescent="0.3">
      <c r="A451" s="200" t="s">
        <v>30</v>
      </c>
      <c r="B451" s="191"/>
      <c r="C451" s="191"/>
      <c r="D451" s="191"/>
      <c r="E451" s="191"/>
      <c r="F451" s="191"/>
      <c r="G451" s="191"/>
      <c r="H451" s="191"/>
      <c r="I451" s="191"/>
      <c r="J451" s="191"/>
      <c r="K451" s="192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 x14ac:dyDescent="0.2">
      <c r="A452" s="4"/>
      <c r="B452" s="4"/>
      <c r="C452" s="49"/>
      <c r="D452" s="91"/>
      <c r="E452" s="92"/>
      <c r="F452" s="23"/>
      <c r="G452" s="23"/>
      <c r="H452" s="23"/>
      <c r="I452" s="23"/>
      <c r="J452" s="62"/>
      <c r="K452" s="62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 x14ac:dyDescent="0.25">
      <c r="A453" s="4"/>
      <c r="B453" s="93"/>
      <c r="C453" s="44" t="s">
        <v>31</v>
      </c>
      <c r="D453" s="94"/>
      <c r="E453" s="95"/>
      <c r="F453" s="96"/>
      <c r="G453" s="97"/>
      <c r="H453" s="23"/>
      <c r="I453" s="23"/>
      <c r="J453" s="62"/>
      <c r="K453" s="62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 thickBot="1" x14ac:dyDescent="0.25">
      <c r="A454" s="4"/>
      <c r="B454" s="4"/>
      <c r="C454" s="49"/>
      <c r="D454" s="91"/>
      <c r="E454" s="92"/>
      <c r="F454" s="23"/>
      <c r="G454" s="23"/>
      <c r="H454" s="23"/>
      <c r="I454" s="23"/>
      <c r="J454" s="62"/>
      <c r="K454" s="62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x14ac:dyDescent="0.25">
      <c r="A455" s="4"/>
      <c r="B455" s="147" t="str">
        <f>+B17</f>
        <v>Zone 1.0</v>
      </c>
      <c r="C455" s="147" t="str">
        <f>+C17</f>
        <v>SITE SET &amp; P&amp;G</v>
      </c>
      <c r="D455" s="148"/>
      <c r="E455" s="148"/>
      <c r="F455" s="149">
        <f>K17</f>
        <v>160411.30000000002</v>
      </c>
      <c r="G455" s="150"/>
      <c r="H455" s="98"/>
      <c r="I455" s="98"/>
      <c r="J455" s="98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x14ac:dyDescent="0.25">
      <c r="A456" s="4"/>
      <c r="B456" s="151" t="str">
        <f>B36</f>
        <v>Zone 2.0</v>
      </c>
      <c r="C456" s="151" t="str">
        <f>C36</f>
        <v>GROUNDWORK (Provisional)</v>
      </c>
      <c r="D456" s="140"/>
      <c r="E456" s="140"/>
      <c r="F456" s="141">
        <f>K36</f>
        <v>10640</v>
      </c>
      <c r="G456" s="152"/>
      <c r="H456" s="98"/>
      <c r="I456" s="98"/>
      <c r="J456" s="98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x14ac:dyDescent="0.25">
      <c r="A457" s="4"/>
      <c r="B457" s="151" t="str">
        <f>B40</f>
        <v>Zone 3.0</v>
      </c>
      <c r="C457" s="151" t="str">
        <f>C40</f>
        <v>CONCRETE</v>
      </c>
      <c r="D457" s="140"/>
      <c r="E457" s="140"/>
      <c r="F457" s="141">
        <f>K40</f>
        <v>46554.358409999993</v>
      </c>
      <c r="G457" s="152"/>
      <c r="H457" s="98"/>
      <c r="I457" s="98"/>
      <c r="J457" s="98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x14ac:dyDescent="0.25">
      <c r="A458" s="4"/>
      <c r="B458" s="151" t="str">
        <f>B82</f>
        <v>Zone 4.0</v>
      </c>
      <c r="C458" s="151" t="str">
        <f>C82</f>
        <v>BLOCKWORK</v>
      </c>
      <c r="D458" s="140"/>
      <c r="E458" s="140"/>
      <c r="F458" s="141">
        <f>K82</f>
        <v>65898.84</v>
      </c>
      <c r="G458" s="152"/>
      <c r="H458" s="98"/>
      <c r="I458" s="98"/>
      <c r="J458" s="98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x14ac:dyDescent="0.25">
      <c r="A459" s="4"/>
      <c r="B459" s="151" t="str">
        <f>B101</f>
        <v>Zone 5.0</v>
      </c>
      <c r="C459" s="151" t="str">
        <f>C101</f>
        <v>BACKFILLING &amp; DRAINAGE TO RETAINING WALL</v>
      </c>
      <c r="D459" s="140"/>
      <c r="E459" s="140"/>
      <c r="F459" s="141">
        <f>K101</f>
        <v>4435.5500000000011</v>
      </c>
      <c r="G459" s="152"/>
      <c r="H459" s="98"/>
      <c r="I459" s="98"/>
      <c r="J459" s="98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x14ac:dyDescent="0.25">
      <c r="A460" s="4"/>
      <c r="B460" s="151" t="str">
        <f>B110</f>
        <v>Zone 6.0</v>
      </c>
      <c r="C460" s="151" t="str">
        <f>C110</f>
        <v>STRUCTURAL STEEL</v>
      </c>
      <c r="D460" s="140"/>
      <c r="E460" s="140"/>
      <c r="F460" s="141">
        <f>K110</f>
        <v>138187</v>
      </c>
      <c r="G460" s="152"/>
      <c r="H460" s="98"/>
      <c r="I460" s="98"/>
      <c r="J460" s="98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x14ac:dyDescent="0.25">
      <c r="A461" s="4"/>
      <c r="B461" s="151" t="str">
        <f>B135</f>
        <v>Zone 7.0</v>
      </c>
      <c r="C461" s="151" t="str">
        <f>C135</f>
        <v>STRUCTURAL FRAMING &amp; INSULATION</v>
      </c>
      <c r="D461" s="140"/>
      <c r="E461" s="140"/>
      <c r="F461" s="141">
        <f>K135</f>
        <v>114085.6045</v>
      </c>
      <c r="G461" s="152"/>
      <c r="H461" s="98"/>
      <c r="I461" s="98"/>
      <c r="J461" s="98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x14ac:dyDescent="0.25">
      <c r="A462" s="4"/>
      <c r="B462" s="151" t="str">
        <f>B169</f>
        <v>Zone 8.0</v>
      </c>
      <c r="C462" s="151" t="str">
        <f>C169</f>
        <v>ALUMINIUM WINDOWS &amp; DOORS</v>
      </c>
      <c r="D462" s="140"/>
      <c r="E462" s="140"/>
      <c r="F462" s="141">
        <f>K169</f>
        <v>51883.297340000005</v>
      </c>
      <c r="G462" s="152"/>
      <c r="H462" s="98"/>
      <c r="I462" s="98"/>
      <c r="J462" s="98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x14ac:dyDescent="0.25">
      <c r="A463" s="4"/>
      <c r="B463" s="151" t="str">
        <f>B191</f>
        <v>Zone 9.0</v>
      </c>
      <c r="C463" s="151" t="str">
        <f>C191</f>
        <v>ROOFING</v>
      </c>
      <c r="D463" s="140"/>
      <c r="E463" s="140"/>
      <c r="F463" s="141">
        <f>K191</f>
        <v>30816.1</v>
      </c>
      <c r="G463" s="152"/>
      <c r="H463" s="98"/>
      <c r="I463" s="98"/>
      <c r="J463" s="98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x14ac:dyDescent="0.25">
      <c r="A464" s="4"/>
      <c r="B464" s="151" t="str">
        <f>B203</f>
        <v>Zone 10.0</v>
      </c>
      <c r="C464" s="151" t="str">
        <f>C203</f>
        <v>SKYLIGHTS (Provisional)</v>
      </c>
      <c r="D464" s="140"/>
      <c r="E464" s="140"/>
      <c r="F464" s="141">
        <f>K203</f>
        <v>9842</v>
      </c>
      <c r="G464" s="152"/>
      <c r="H464" s="98"/>
      <c r="I464" s="98"/>
      <c r="J464" s="98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x14ac:dyDescent="0.25">
      <c r="A465" s="4"/>
      <c r="B465" s="151" t="str">
        <f>B209</f>
        <v>Zone 11.0</v>
      </c>
      <c r="C465" s="151" t="str">
        <f>C209</f>
        <v>METAL CLADDING (Provisional)</v>
      </c>
      <c r="D465" s="140"/>
      <c r="E465" s="140"/>
      <c r="F465" s="141">
        <f>K209</f>
        <v>9310</v>
      </c>
      <c r="G465" s="152"/>
      <c r="H465" s="98"/>
      <c r="I465" s="98"/>
      <c r="J465" s="98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x14ac:dyDescent="0.25">
      <c r="A466" s="4"/>
      <c r="B466" s="151" t="str">
        <f>B213</f>
        <v>Zone 12.0</v>
      </c>
      <c r="C466" s="151" t="str">
        <f>C213</f>
        <v>CLADDING &amp; SOFFITS</v>
      </c>
      <c r="D466" s="140"/>
      <c r="E466" s="140"/>
      <c r="F466" s="141">
        <f>K213</f>
        <v>72148.071100000001</v>
      </c>
      <c r="G466" s="152"/>
      <c r="H466" s="98"/>
      <c r="I466" s="98"/>
      <c r="J466" s="98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x14ac:dyDescent="0.25">
      <c r="A467" s="4"/>
      <c r="B467" s="151" t="str">
        <f>B228</f>
        <v>Zone 13.0</v>
      </c>
      <c r="C467" s="151" t="str">
        <f>C228</f>
        <v xml:space="preserve">PLASTERING </v>
      </c>
      <c r="D467" s="140"/>
      <c r="E467" s="140"/>
      <c r="F467" s="141">
        <f>K228</f>
        <v>12063.100000000002</v>
      </c>
      <c r="G467" s="152"/>
      <c r="H467" s="98"/>
      <c r="I467" s="98"/>
      <c r="J467" s="98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x14ac:dyDescent="0.25">
      <c r="A468" s="4"/>
      <c r="B468" s="151" t="str">
        <f>B246</f>
        <v>Zone 14.0</v>
      </c>
      <c r="C468" s="151" t="str">
        <f>C246</f>
        <v>WATERPROOFING</v>
      </c>
      <c r="D468" s="140"/>
      <c r="E468" s="140"/>
      <c r="F468" s="141">
        <f>K246</f>
        <v>7847</v>
      </c>
      <c r="G468" s="152"/>
      <c r="H468" s="98"/>
      <c r="I468" s="98"/>
      <c r="J468" s="98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x14ac:dyDescent="0.25">
      <c r="A469" s="4"/>
      <c r="B469" s="151" t="str">
        <f>B262</f>
        <v>Zone 15.0</v>
      </c>
      <c r="C469" s="151" t="str">
        <f>C262</f>
        <v>TILE SUPPLY (Provisional)</v>
      </c>
      <c r="D469" s="140"/>
      <c r="E469" s="140"/>
      <c r="F469" s="141">
        <f>K262</f>
        <v>10376.66</v>
      </c>
      <c r="G469" s="152"/>
      <c r="H469" s="98"/>
      <c r="I469" s="98"/>
      <c r="J469" s="98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x14ac:dyDescent="0.25">
      <c r="A470" s="4"/>
      <c r="B470" s="151" t="str">
        <f>B276</f>
        <v>Zone 16.0</v>
      </c>
      <c r="C470" s="151" t="str">
        <f>C276</f>
        <v>TILE INSTALLATION (Provisional)</v>
      </c>
      <c r="D470" s="140"/>
      <c r="E470" s="140"/>
      <c r="F470" s="141">
        <f>K276</f>
        <v>20861.050000000003</v>
      </c>
      <c r="G470" s="152"/>
      <c r="H470" s="98"/>
      <c r="I470" s="98"/>
      <c r="J470" s="98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x14ac:dyDescent="0.25">
      <c r="A471" s="4"/>
      <c r="B471" s="151" t="str">
        <f>B300</f>
        <v>Zone 17.0</v>
      </c>
      <c r="C471" s="151" t="str">
        <f>C300</f>
        <v>STAIRS (Provisional)</v>
      </c>
      <c r="D471" s="140"/>
      <c r="E471" s="140"/>
      <c r="F471" s="141">
        <f>K300</f>
        <v>33250</v>
      </c>
      <c r="G471" s="152"/>
      <c r="H471" s="98"/>
      <c r="I471" s="98"/>
      <c r="J471" s="98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x14ac:dyDescent="0.25">
      <c r="A472" s="4"/>
      <c r="B472" s="151" t="str">
        <f>B304</f>
        <v>Zone 18.0</v>
      </c>
      <c r="C472" s="151" t="str">
        <f>C304</f>
        <v>FIT OUT (Provisional)</v>
      </c>
      <c r="D472" s="140"/>
      <c r="E472" s="140"/>
      <c r="F472" s="141">
        <f>K304</f>
        <v>49685.0095</v>
      </c>
      <c r="G472" s="152"/>
      <c r="H472" s="98"/>
      <c r="I472" s="98"/>
      <c r="J472" s="98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x14ac:dyDescent="0.25">
      <c r="A473" s="4"/>
      <c r="B473" s="151" t="str">
        <f>B321</f>
        <v>Zone 19.0</v>
      </c>
      <c r="C473" s="151" t="str">
        <f>C321</f>
        <v>SHOWER SCREEN (Provisional)</v>
      </c>
      <c r="D473" s="140"/>
      <c r="E473" s="140"/>
      <c r="F473" s="141">
        <f>K321</f>
        <v>3830.3999999999996</v>
      </c>
      <c r="G473" s="152"/>
      <c r="H473" s="98"/>
      <c r="I473" s="98"/>
      <c r="J473" s="98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x14ac:dyDescent="0.25">
      <c r="A474" s="4"/>
      <c r="B474" s="151" t="str">
        <f>B327</f>
        <v>Zone 20.0</v>
      </c>
      <c r="C474" s="151" t="str">
        <f>C327</f>
        <v>FLOOR COVERINGS</v>
      </c>
      <c r="D474" s="140"/>
      <c r="E474" s="140"/>
      <c r="F474" s="141">
        <f>K327</f>
        <v>24224.6865</v>
      </c>
      <c r="G474" s="152"/>
      <c r="H474" s="98"/>
      <c r="I474" s="98"/>
      <c r="J474" s="98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x14ac:dyDescent="0.25">
      <c r="A475" s="4"/>
      <c r="B475" s="151" t="str">
        <f>B338</f>
        <v>Zone 21.0</v>
      </c>
      <c r="C475" s="151" t="str">
        <f>C338</f>
        <v>JOINERY (Provisional)</v>
      </c>
      <c r="D475" s="140"/>
      <c r="E475" s="140"/>
      <c r="F475" s="141">
        <f>K338</f>
        <v>101745</v>
      </c>
      <c r="G475" s="152"/>
      <c r="H475" s="98"/>
      <c r="I475" s="98"/>
      <c r="J475" s="98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x14ac:dyDescent="0.25">
      <c r="A476" s="4"/>
      <c r="B476" s="151" t="str">
        <f>B355</f>
        <v>Zone 22.0</v>
      </c>
      <c r="C476" s="151" t="str">
        <f>C355</f>
        <v>ELECTRICAL SERVICES (Provisional)</v>
      </c>
      <c r="D476" s="140"/>
      <c r="E476" s="140"/>
      <c r="F476" s="141">
        <f>K355</f>
        <v>33726.565600000002</v>
      </c>
      <c r="G476" s="152"/>
      <c r="H476" s="98"/>
      <c r="I476" s="98"/>
      <c r="J476" s="98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x14ac:dyDescent="0.25">
      <c r="A477" s="4"/>
      <c r="B477" s="151" t="str">
        <f>B364</f>
        <v>Zone 23.0</v>
      </c>
      <c r="C477" s="151" t="str">
        <f>C364</f>
        <v>PLUMBING &amp; STORMWATER SERVICES (Provisional)</v>
      </c>
      <c r="D477" s="140"/>
      <c r="E477" s="140"/>
      <c r="F477" s="141">
        <f>K364</f>
        <v>89402.6</v>
      </c>
      <c r="G477" s="152"/>
      <c r="H477" s="98"/>
      <c r="I477" s="98"/>
      <c r="J477" s="98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x14ac:dyDescent="0.25">
      <c r="A478" s="4"/>
      <c r="B478" s="151" t="str">
        <f>B374</f>
        <v>Zone 24.0</v>
      </c>
      <c r="C478" s="151" t="str">
        <f>C374</f>
        <v>SANITARY FIXTURES &amp; FITTINGS (Provisional)</v>
      </c>
      <c r="D478" s="140"/>
      <c r="E478" s="140"/>
      <c r="F478" s="141">
        <f>K374</f>
        <v>8432.1999999999989</v>
      </c>
      <c r="G478" s="152"/>
      <c r="H478" s="98"/>
      <c r="I478" s="98"/>
      <c r="J478" s="98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x14ac:dyDescent="0.25">
      <c r="A479" s="4"/>
      <c r="B479" s="151" t="str">
        <f>B403</f>
        <v>Zone 25.0</v>
      </c>
      <c r="C479" s="151" t="str">
        <f>C403</f>
        <v>PAINTING (Provisional)</v>
      </c>
      <c r="D479" s="140"/>
      <c r="E479" s="140"/>
      <c r="F479" s="141">
        <f>K403</f>
        <v>22862.700000000008</v>
      </c>
      <c r="G479" s="152"/>
      <c r="H479" s="98"/>
      <c r="I479" s="98"/>
      <c r="J479" s="98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x14ac:dyDescent="0.25">
      <c r="A480" s="4"/>
      <c r="B480" s="151" t="str">
        <f>B435</f>
        <v>Zone 26.0</v>
      </c>
      <c r="C480" s="151" t="str">
        <f>C435</f>
        <v>FIREPLACE (Provisional)</v>
      </c>
      <c r="D480" s="140"/>
      <c r="E480" s="140"/>
      <c r="F480" s="141">
        <f>K435</f>
        <v>15960</v>
      </c>
      <c r="G480" s="152"/>
      <c r="H480" s="98"/>
      <c r="I480" s="98"/>
      <c r="J480" s="98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x14ac:dyDescent="0.25">
      <c r="A481" s="4"/>
      <c r="B481" s="151" t="str">
        <f>B439</f>
        <v>Zone 27.0</v>
      </c>
      <c r="C481" s="151" t="str">
        <f>C439</f>
        <v>LIFT (Provisional)</v>
      </c>
      <c r="D481" s="140"/>
      <c r="E481" s="140"/>
      <c r="F481" s="141">
        <f>K439</f>
        <v>106400</v>
      </c>
      <c r="G481" s="152"/>
      <c r="H481" s="98"/>
      <c r="I481" s="98"/>
      <c r="J481" s="98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x14ac:dyDescent="0.25">
      <c r="A482" s="4"/>
      <c r="B482" s="151" t="str">
        <f>B443</f>
        <v>Zone 28.0</v>
      </c>
      <c r="C482" s="151" t="str">
        <f>C443</f>
        <v>DUMBWAITER (Provisional)</v>
      </c>
      <c r="D482" s="140"/>
      <c r="E482" s="140"/>
      <c r="F482" s="141">
        <f>K443</f>
        <v>13300</v>
      </c>
      <c r="G482" s="152"/>
      <c r="H482" s="98"/>
      <c r="I482" s="98"/>
      <c r="J482" s="98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x14ac:dyDescent="0.25">
      <c r="A483" s="4"/>
      <c r="B483" s="151" t="str">
        <f>B447</f>
        <v>Zone 29.0</v>
      </c>
      <c r="C483" s="151" t="str">
        <f>C447</f>
        <v>LANDSCAPING (Provisional)</v>
      </c>
      <c r="D483" s="140"/>
      <c r="E483" s="140"/>
      <c r="F483" s="141">
        <f>K447</f>
        <v>26600</v>
      </c>
      <c r="G483" s="152"/>
      <c r="H483" s="98"/>
      <c r="I483" s="98"/>
      <c r="J483" s="98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 x14ac:dyDescent="0.25">
      <c r="A484" s="4"/>
      <c r="B484" s="153"/>
      <c r="C484" s="154" t="s">
        <v>32</v>
      </c>
      <c r="D484" s="155"/>
      <c r="E484" s="156"/>
      <c r="F484" s="141">
        <f>SUM(F455:F483)</f>
        <v>1294779.09295</v>
      </c>
      <c r="G484" s="157"/>
      <c r="H484" s="23"/>
      <c r="I484" s="23"/>
      <c r="J484" s="62"/>
      <c r="K484" s="62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 thickBot="1" x14ac:dyDescent="0.3">
      <c r="A485" s="4"/>
      <c r="B485" s="158"/>
      <c r="C485" s="159" t="s">
        <v>33</v>
      </c>
      <c r="D485" s="160">
        <v>0.03</v>
      </c>
      <c r="E485" s="161"/>
      <c r="F485" s="162">
        <f>+D485*F484</f>
        <v>38843.372788499997</v>
      </c>
      <c r="G485" s="157"/>
      <c r="H485" s="23"/>
      <c r="I485" s="23"/>
      <c r="J485" s="62"/>
      <c r="K485" s="62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 x14ac:dyDescent="0.25">
      <c r="A486" s="4"/>
      <c r="B486" s="153"/>
      <c r="C486" s="154" t="s">
        <v>32</v>
      </c>
      <c r="D486" s="155"/>
      <c r="E486" s="156"/>
      <c r="F486" s="141">
        <f>+F485+F484</f>
        <v>1333622.4657385</v>
      </c>
      <c r="G486" s="157"/>
      <c r="H486" s="23"/>
      <c r="I486" s="23"/>
      <c r="J486" s="62"/>
      <c r="K486" s="62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 thickBot="1" x14ac:dyDescent="0.3">
      <c r="A487" s="4"/>
      <c r="B487" s="158"/>
      <c r="C487" s="163" t="s">
        <v>34</v>
      </c>
      <c r="D487" s="160">
        <v>0.1</v>
      </c>
      <c r="E487" s="161"/>
      <c r="F487" s="162">
        <f>+F486*D487</f>
        <v>133362.24657385002</v>
      </c>
      <c r="G487" s="157"/>
      <c r="H487" s="23"/>
      <c r="I487" s="23"/>
      <c r="J487" s="62"/>
      <c r="K487" s="62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 thickBot="1" x14ac:dyDescent="0.3">
      <c r="A488" s="4"/>
      <c r="B488" s="158"/>
      <c r="C488" s="164" t="s">
        <v>35</v>
      </c>
      <c r="D488" s="165"/>
      <c r="E488" s="161"/>
      <c r="F488" s="162">
        <f>+F487+F486</f>
        <v>1466984.71231235</v>
      </c>
      <c r="G488" s="157"/>
      <c r="H488" s="23"/>
      <c r="I488" s="23"/>
      <c r="J488" s="62"/>
      <c r="K488" s="62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 thickBot="1" x14ac:dyDescent="0.25">
      <c r="A489" s="4"/>
      <c r="B489" s="166"/>
      <c r="C489" s="167"/>
      <c r="D489" s="168"/>
      <c r="E489" s="169"/>
      <c r="F489" s="170"/>
      <c r="G489" s="171"/>
      <c r="H489" s="23"/>
      <c r="I489" s="23"/>
      <c r="J489" s="62"/>
      <c r="K489" s="62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 x14ac:dyDescent="0.2">
      <c r="A490" s="4"/>
      <c r="B490" s="4"/>
      <c r="C490" s="49"/>
      <c r="D490" s="91"/>
      <c r="E490" s="92"/>
      <c r="F490" s="23"/>
      <c r="G490" s="23"/>
      <c r="H490" s="23"/>
      <c r="I490" s="23"/>
      <c r="J490" s="62"/>
      <c r="K490" s="62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 x14ac:dyDescent="0.2">
      <c r="A491" s="4"/>
      <c r="B491" s="4"/>
      <c r="C491" s="49"/>
      <c r="D491" s="91"/>
      <c r="E491" s="92"/>
      <c r="F491" s="23"/>
      <c r="G491" s="23"/>
      <c r="H491" s="23"/>
      <c r="I491" s="23"/>
      <c r="J491" s="62"/>
      <c r="K491" s="62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 x14ac:dyDescent="0.25">
      <c r="A492" s="4"/>
      <c r="B492" s="190" t="s">
        <v>36</v>
      </c>
      <c r="C492" s="191"/>
      <c r="D492" s="191"/>
      <c r="E492" s="191"/>
      <c r="F492" s="191"/>
      <c r="G492" s="192"/>
      <c r="H492" s="23"/>
      <c r="I492" s="23"/>
      <c r="J492" s="62"/>
      <c r="K492" s="62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 x14ac:dyDescent="0.25">
      <c r="A493" s="4"/>
      <c r="B493" s="99"/>
      <c r="C493" s="99"/>
      <c r="D493" s="99"/>
      <c r="E493" s="99"/>
      <c r="F493" s="99"/>
      <c r="G493" s="99"/>
      <c r="H493" s="23"/>
      <c r="I493" s="23"/>
      <c r="J493" s="62"/>
      <c r="K493" s="62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 x14ac:dyDescent="0.2">
      <c r="A494" s="4"/>
      <c r="B494" s="193" t="s">
        <v>62</v>
      </c>
      <c r="C494" s="194"/>
      <c r="D494" s="194"/>
      <c r="E494" s="194"/>
      <c r="F494" s="194"/>
      <c r="G494" s="195"/>
      <c r="H494" s="142"/>
      <c r="I494" s="23"/>
      <c r="J494" s="62"/>
      <c r="K494" s="62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 x14ac:dyDescent="0.2">
      <c r="A495" s="4"/>
      <c r="B495" s="193" t="s">
        <v>40</v>
      </c>
      <c r="C495" s="194"/>
      <c r="D495" s="194"/>
      <c r="E495" s="194"/>
      <c r="F495" s="194"/>
      <c r="G495" s="195"/>
      <c r="H495" s="142"/>
      <c r="I495" s="23"/>
      <c r="J495" s="62"/>
      <c r="K495" s="62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 x14ac:dyDescent="0.2">
      <c r="A496" s="100"/>
      <c r="B496" s="196" t="s">
        <v>37</v>
      </c>
      <c r="C496" s="194"/>
      <c r="D496" s="194"/>
      <c r="E496" s="194"/>
      <c r="F496" s="194"/>
      <c r="G496" s="195"/>
      <c r="H496" s="142"/>
      <c r="I496" s="101"/>
      <c r="J496" s="102"/>
      <c r="K496" s="102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</row>
    <row r="497" spans="1:24" ht="15.75" customHeight="1" x14ac:dyDescent="0.2">
      <c r="A497" s="100"/>
      <c r="B497" s="114" t="s">
        <v>49</v>
      </c>
      <c r="C497" s="115"/>
      <c r="D497" s="115"/>
      <c r="E497" s="115"/>
      <c r="F497" s="115"/>
      <c r="G497" s="115"/>
      <c r="H497" s="142"/>
      <c r="I497" s="101"/>
      <c r="J497" s="102"/>
      <c r="K497" s="102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</row>
    <row r="498" spans="1:24" ht="15.75" customHeight="1" x14ac:dyDescent="0.2">
      <c r="A498" s="100"/>
      <c r="B498" s="124" t="s">
        <v>50</v>
      </c>
      <c r="C498" s="115"/>
      <c r="D498" s="115"/>
      <c r="E498" s="115"/>
      <c r="F498" s="115"/>
      <c r="G498" s="115"/>
      <c r="H498" s="142"/>
      <c r="I498" s="101"/>
      <c r="J498" s="102"/>
      <c r="K498" s="102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</row>
    <row r="499" spans="1:24" ht="15.75" customHeight="1" x14ac:dyDescent="0.2">
      <c r="A499" s="100"/>
      <c r="B499" s="124" t="s">
        <v>157</v>
      </c>
      <c r="C499" s="115"/>
      <c r="D499" s="115"/>
      <c r="E499" s="115"/>
      <c r="F499" s="115"/>
      <c r="G499" s="115"/>
      <c r="H499" s="124"/>
      <c r="I499" s="101"/>
      <c r="J499" s="102"/>
      <c r="K499" s="102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</row>
    <row r="500" spans="1:24" ht="15.75" customHeight="1" x14ac:dyDescent="0.2">
      <c r="A500" s="4"/>
      <c r="B500" s="124" t="s">
        <v>158</v>
      </c>
      <c r="C500" s="124"/>
      <c r="D500" s="124"/>
      <c r="E500" s="124"/>
      <c r="F500" s="124"/>
      <c r="G500" s="124"/>
      <c r="H500" s="124"/>
      <c r="I500" s="23"/>
      <c r="J500" s="62"/>
      <c r="K500" s="62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 x14ac:dyDescent="0.2">
      <c r="A501" s="4"/>
      <c r="B501" s="124" t="s">
        <v>134</v>
      </c>
      <c r="C501" s="124"/>
      <c r="D501" s="124"/>
      <c r="E501" s="124"/>
      <c r="F501" s="124"/>
      <c r="G501" s="124"/>
      <c r="H501" s="124"/>
      <c r="I501" s="23"/>
      <c r="J501" s="62"/>
      <c r="K501" s="62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 x14ac:dyDescent="0.2">
      <c r="A502" s="4"/>
      <c r="B502" s="124" t="s">
        <v>400</v>
      </c>
      <c r="C502" s="124"/>
      <c r="D502" s="124"/>
      <c r="E502" s="124"/>
      <c r="F502" s="124"/>
      <c r="G502" s="124"/>
      <c r="H502" s="124"/>
      <c r="I502" s="23"/>
      <c r="J502" s="62"/>
      <c r="K502" s="62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 x14ac:dyDescent="0.2">
      <c r="A503" s="4"/>
      <c r="B503" s="124" t="s">
        <v>401</v>
      </c>
      <c r="C503" s="124"/>
      <c r="D503" s="124"/>
      <c r="E503" s="124"/>
      <c r="F503" s="124"/>
      <c r="G503" s="124"/>
      <c r="H503" s="124"/>
      <c r="I503" s="23"/>
      <c r="J503" s="62"/>
      <c r="K503" s="62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 x14ac:dyDescent="0.2">
      <c r="A504" s="4"/>
      <c r="B504" s="124" t="s">
        <v>402</v>
      </c>
      <c r="C504" s="124"/>
      <c r="D504" s="124"/>
      <c r="E504" s="124"/>
      <c r="F504" s="124"/>
      <c r="G504" s="124"/>
      <c r="H504" s="124"/>
      <c r="I504" s="23"/>
      <c r="J504" s="62"/>
      <c r="K504" s="62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 x14ac:dyDescent="0.2">
      <c r="A505" s="4"/>
      <c r="B505" s="124" t="s">
        <v>403</v>
      </c>
      <c r="C505" s="124"/>
      <c r="D505" s="124"/>
      <c r="E505" s="124"/>
      <c r="F505" s="124"/>
      <c r="G505" s="124"/>
      <c r="H505" s="124"/>
      <c r="I505" s="23"/>
      <c r="J505" s="62"/>
      <c r="K505" s="62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 x14ac:dyDescent="0.2">
      <c r="A506" s="4"/>
      <c r="B506" s="124" t="s">
        <v>97</v>
      </c>
      <c r="C506" s="124"/>
      <c r="D506" s="124"/>
      <c r="E506" s="124"/>
      <c r="F506" s="124"/>
      <c r="G506" s="124"/>
      <c r="H506" s="124"/>
      <c r="I506" s="23"/>
      <c r="J506" s="62"/>
      <c r="K506" s="62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 x14ac:dyDescent="0.2">
      <c r="A507" s="4"/>
      <c r="B507" s="124" t="s">
        <v>404</v>
      </c>
      <c r="C507" s="124"/>
      <c r="D507" s="124"/>
      <c r="E507" s="124"/>
      <c r="F507" s="124"/>
      <c r="G507" s="124"/>
      <c r="H507" s="124"/>
      <c r="I507" s="23"/>
      <c r="J507" s="62"/>
      <c r="K507" s="62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 x14ac:dyDescent="0.2">
      <c r="A508" s="4"/>
      <c r="B508" s="124" t="s">
        <v>405</v>
      </c>
      <c r="C508" s="124"/>
      <c r="D508" s="124"/>
      <c r="E508" s="124"/>
      <c r="F508" s="124"/>
      <c r="G508" s="124"/>
      <c r="H508" s="124"/>
      <c r="I508" s="23"/>
      <c r="J508" s="62"/>
      <c r="K508" s="62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 x14ac:dyDescent="0.2">
      <c r="A509" s="4"/>
      <c r="B509" s="4"/>
      <c r="C509" s="49"/>
      <c r="D509" s="91"/>
      <c r="E509" s="92"/>
      <c r="F509" s="23"/>
      <c r="G509" s="23"/>
      <c r="H509" s="23"/>
      <c r="I509" s="23"/>
      <c r="J509" s="62"/>
      <c r="K509" s="62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 x14ac:dyDescent="0.2">
      <c r="A510" s="4"/>
      <c r="B510" s="4"/>
      <c r="C510" s="49"/>
      <c r="D510" s="91"/>
      <c r="E510" s="92"/>
      <c r="F510" s="23"/>
      <c r="G510" s="23"/>
      <c r="H510" s="23"/>
      <c r="I510" s="23"/>
      <c r="J510" s="62"/>
      <c r="K510" s="62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 x14ac:dyDescent="0.2">
      <c r="A511" s="4"/>
      <c r="B511" s="4"/>
      <c r="C511" s="49"/>
      <c r="D511" s="91"/>
      <c r="E511" s="92"/>
      <c r="F511" s="23"/>
      <c r="G511" s="23"/>
      <c r="H511" s="23"/>
      <c r="I511" s="23"/>
      <c r="J511" s="62"/>
      <c r="K511" s="62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 x14ac:dyDescent="0.2">
      <c r="A512" s="4"/>
      <c r="B512" s="4"/>
      <c r="C512" s="49"/>
      <c r="D512" s="91"/>
      <c r="E512" s="92"/>
      <c r="F512" s="23"/>
      <c r="G512" s="23"/>
      <c r="H512" s="23"/>
      <c r="I512" s="23"/>
      <c r="J512" s="62"/>
      <c r="K512" s="62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 x14ac:dyDescent="0.2">
      <c r="A513" s="4"/>
      <c r="B513" s="4"/>
      <c r="C513" s="49"/>
      <c r="D513" s="91"/>
      <c r="E513" s="92"/>
      <c r="F513" s="23"/>
      <c r="G513" s="23"/>
      <c r="H513" s="23"/>
      <c r="I513" s="23"/>
      <c r="J513" s="62"/>
      <c r="K513" s="62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 x14ac:dyDescent="0.2">
      <c r="A514" s="4"/>
      <c r="B514" s="4"/>
      <c r="C514" s="49"/>
      <c r="D514" s="91"/>
      <c r="E514" s="92"/>
      <c r="F514" s="23"/>
      <c r="G514" s="23"/>
      <c r="H514" s="23"/>
      <c r="I514" s="23"/>
      <c r="J514" s="62"/>
      <c r="K514" s="62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 x14ac:dyDescent="0.2">
      <c r="A515" s="4"/>
      <c r="B515" s="4"/>
      <c r="C515" s="49"/>
      <c r="D515" s="91"/>
      <c r="E515" s="92"/>
      <c r="F515" s="23"/>
      <c r="G515" s="23"/>
      <c r="H515" s="23"/>
      <c r="I515" s="23"/>
      <c r="J515" s="62"/>
      <c r="K515" s="62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 x14ac:dyDescent="0.2">
      <c r="A516" s="4"/>
      <c r="B516" s="4"/>
      <c r="C516" s="49"/>
      <c r="D516" s="91"/>
      <c r="E516" s="92"/>
      <c r="F516" s="23"/>
      <c r="G516" s="23"/>
      <c r="H516" s="23"/>
      <c r="I516" s="23"/>
      <c r="J516" s="62"/>
      <c r="K516" s="62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 x14ac:dyDescent="0.2">
      <c r="A517" s="4"/>
      <c r="B517" s="4"/>
      <c r="C517" s="49"/>
      <c r="D517" s="91"/>
      <c r="E517" s="92"/>
      <c r="F517" s="23"/>
      <c r="G517" s="23"/>
      <c r="H517" s="23"/>
      <c r="I517" s="23"/>
      <c r="J517" s="62"/>
      <c r="K517" s="62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 x14ac:dyDescent="0.2">
      <c r="A518" s="4"/>
      <c r="B518" s="4"/>
      <c r="C518" s="49"/>
      <c r="D518" s="91"/>
      <c r="E518" s="92"/>
      <c r="F518" s="23"/>
      <c r="G518" s="23"/>
      <c r="H518" s="23"/>
      <c r="I518" s="23"/>
      <c r="J518" s="62"/>
      <c r="K518" s="62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 x14ac:dyDescent="0.2">
      <c r="A519" s="4"/>
      <c r="B519" s="4"/>
      <c r="C519" s="49"/>
      <c r="D519" s="91"/>
      <c r="E519" s="92"/>
      <c r="F519" s="23"/>
      <c r="G519" s="23"/>
      <c r="H519" s="23"/>
      <c r="I519" s="23"/>
      <c r="J519" s="62"/>
      <c r="K519" s="62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 x14ac:dyDescent="0.2">
      <c r="A520" s="4"/>
      <c r="B520" s="4"/>
      <c r="C520" s="49"/>
      <c r="D520" s="91"/>
      <c r="E520" s="92"/>
      <c r="F520" s="23"/>
      <c r="G520" s="23"/>
      <c r="H520" s="23"/>
      <c r="I520" s="23"/>
      <c r="J520" s="62"/>
      <c r="K520" s="62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 x14ac:dyDescent="0.2">
      <c r="A521" s="4"/>
      <c r="B521" s="4"/>
      <c r="C521" s="49"/>
      <c r="D521" s="91"/>
      <c r="E521" s="92"/>
      <c r="F521" s="23"/>
      <c r="G521" s="23"/>
      <c r="H521" s="23"/>
      <c r="I521" s="23"/>
      <c r="J521" s="62"/>
      <c r="K521" s="62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 x14ac:dyDescent="0.2">
      <c r="A522" s="4"/>
      <c r="B522" s="4"/>
      <c r="C522" s="49"/>
      <c r="D522" s="91"/>
      <c r="E522" s="92"/>
      <c r="F522" s="23"/>
      <c r="G522" s="23"/>
      <c r="H522" s="23"/>
      <c r="I522" s="23"/>
      <c r="J522" s="62"/>
      <c r="K522" s="62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 x14ac:dyDescent="0.2">
      <c r="A523" s="4"/>
      <c r="B523" s="4"/>
      <c r="C523" s="49"/>
      <c r="D523" s="91"/>
      <c r="E523" s="92"/>
      <c r="F523" s="23"/>
      <c r="G523" s="23"/>
      <c r="H523" s="23"/>
      <c r="I523" s="23"/>
      <c r="J523" s="62"/>
      <c r="K523" s="62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 x14ac:dyDescent="0.2">
      <c r="A524" s="4"/>
      <c r="B524" s="4"/>
      <c r="C524" s="49"/>
      <c r="D524" s="91"/>
      <c r="E524" s="92"/>
      <c r="F524" s="23"/>
      <c r="G524" s="23"/>
      <c r="H524" s="23"/>
      <c r="I524" s="23"/>
      <c r="J524" s="62"/>
      <c r="K524" s="62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 x14ac:dyDescent="0.2">
      <c r="A525" s="4"/>
      <c r="B525" s="4"/>
      <c r="C525" s="49"/>
      <c r="D525" s="91"/>
      <c r="E525" s="92"/>
      <c r="F525" s="23"/>
      <c r="G525" s="23"/>
      <c r="H525" s="23"/>
      <c r="I525" s="23"/>
      <c r="J525" s="62"/>
      <c r="K525" s="62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 x14ac:dyDescent="0.2">
      <c r="A526" s="4"/>
      <c r="B526" s="4"/>
      <c r="C526" s="49"/>
      <c r="D526" s="91"/>
      <c r="E526" s="92"/>
      <c r="F526" s="23"/>
      <c r="G526" s="23"/>
      <c r="H526" s="23"/>
      <c r="I526" s="23"/>
      <c r="J526" s="62"/>
      <c r="K526" s="62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 x14ac:dyDescent="0.2">
      <c r="A527" s="4"/>
      <c r="B527" s="4"/>
      <c r="C527" s="49"/>
      <c r="D527" s="91"/>
      <c r="E527" s="92"/>
      <c r="F527" s="23"/>
      <c r="G527" s="23"/>
      <c r="H527" s="23"/>
      <c r="I527" s="23"/>
      <c r="J527" s="62"/>
      <c r="K527" s="62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 x14ac:dyDescent="0.2">
      <c r="A528" s="4"/>
      <c r="B528" s="4"/>
      <c r="C528" s="49"/>
      <c r="D528" s="91"/>
      <c r="E528" s="92"/>
      <c r="F528" s="23"/>
      <c r="G528" s="23"/>
      <c r="H528" s="23"/>
      <c r="I528" s="23"/>
      <c r="J528" s="62"/>
      <c r="K528" s="62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 x14ac:dyDescent="0.2">
      <c r="A529" s="4"/>
      <c r="B529" s="4"/>
      <c r="C529" s="49"/>
      <c r="D529" s="91"/>
      <c r="E529" s="92"/>
      <c r="F529" s="23"/>
      <c r="G529" s="23"/>
      <c r="H529" s="23"/>
      <c r="I529" s="23"/>
      <c r="J529" s="62"/>
      <c r="K529" s="62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 x14ac:dyDescent="0.2">
      <c r="A530" s="4"/>
      <c r="B530" s="4"/>
      <c r="C530" s="49"/>
      <c r="D530" s="91"/>
      <c r="E530" s="92"/>
      <c r="F530" s="23"/>
      <c r="G530" s="23"/>
      <c r="H530" s="23"/>
      <c r="I530" s="23"/>
      <c r="J530" s="62"/>
      <c r="K530" s="62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 x14ac:dyDescent="0.2">
      <c r="A531" s="4"/>
      <c r="B531" s="4"/>
      <c r="C531" s="49"/>
      <c r="D531" s="91"/>
      <c r="E531" s="92"/>
      <c r="F531" s="23"/>
      <c r="G531" s="23"/>
      <c r="H531" s="23"/>
      <c r="I531" s="23"/>
      <c r="J531" s="62"/>
      <c r="K531" s="62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 x14ac:dyDescent="0.2">
      <c r="A532" s="4"/>
      <c r="B532" s="4"/>
      <c r="C532" s="49"/>
      <c r="D532" s="91"/>
      <c r="E532" s="92"/>
      <c r="F532" s="23"/>
      <c r="G532" s="23"/>
      <c r="H532" s="23"/>
      <c r="I532" s="23"/>
      <c r="J532" s="62"/>
      <c r="K532" s="62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 x14ac:dyDescent="0.2">
      <c r="A533" s="4"/>
      <c r="B533" s="4"/>
      <c r="C533" s="49"/>
      <c r="D533" s="91"/>
      <c r="E533" s="92"/>
      <c r="F533" s="23"/>
      <c r="G533" s="23"/>
      <c r="H533" s="23"/>
      <c r="I533" s="23"/>
      <c r="J533" s="62"/>
      <c r="K533" s="62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 x14ac:dyDescent="0.2">
      <c r="A534" s="4"/>
      <c r="B534" s="4"/>
      <c r="C534" s="49"/>
      <c r="D534" s="91"/>
      <c r="E534" s="92"/>
      <c r="F534" s="23"/>
      <c r="G534" s="23"/>
      <c r="H534" s="23"/>
      <c r="I534" s="23"/>
      <c r="J534" s="62"/>
      <c r="K534" s="62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 x14ac:dyDescent="0.2">
      <c r="A535" s="4"/>
      <c r="B535" s="4"/>
      <c r="C535" s="49"/>
      <c r="D535" s="91"/>
      <c r="E535" s="92"/>
      <c r="F535" s="23"/>
      <c r="G535" s="23"/>
      <c r="H535" s="23"/>
      <c r="I535" s="23"/>
      <c r="J535" s="62"/>
      <c r="K535" s="62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 x14ac:dyDescent="0.2">
      <c r="A536" s="4"/>
      <c r="B536" s="4"/>
      <c r="C536" s="49"/>
      <c r="D536" s="91"/>
      <c r="E536" s="92"/>
      <c r="F536" s="23"/>
      <c r="G536" s="23"/>
      <c r="H536" s="23"/>
      <c r="I536" s="23"/>
      <c r="J536" s="62"/>
      <c r="K536" s="62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 x14ac:dyDescent="0.2">
      <c r="A537" s="4"/>
      <c r="B537" s="4"/>
      <c r="C537" s="49"/>
      <c r="D537" s="91"/>
      <c r="E537" s="92"/>
      <c r="F537" s="23"/>
      <c r="G537" s="23"/>
      <c r="H537" s="23"/>
      <c r="I537" s="23"/>
      <c r="J537" s="62"/>
      <c r="K537" s="62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 x14ac:dyDescent="0.2">
      <c r="A538" s="4"/>
      <c r="B538" s="4"/>
      <c r="C538" s="49"/>
      <c r="D538" s="91"/>
      <c r="E538" s="92"/>
      <c r="F538" s="23"/>
      <c r="G538" s="23"/>
      <c r="H538" s="23"/>
      <c r="I538" s="23"/>
      <c r="J538" s="62"/>
      <c r="K538" s="62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 x14ac:dyDescent="0.2">
      <c r="A539" s="4"/>
      <c r="B539" s="4"/>
      <c r="C539" s="49"/>
      <c r="D539" s="91"/>
      <c r="E539" s="92"/>
      <c r="F539" s="23"/>
      <c r="G539" s="23"/>
      <c r="H539" s="23"/>
      <c r="I539" s="23"/>
      <c r="J539" s="62"/>
      <c r="K539" s="62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 x14ac:dyDescent="0.2">
      <c r="A540" s="4"/>
      <c r="B540" s="4"/>
      <c r="C540" s="49"/>
      <c r="D540" s="91"/>
      <c r="E540" s="92"/>
      <c r="F540" s="23"/>
      <c r="G540" s="23"/>
      <c r="H540" s="23"/>
      <c r="I540" s="23"/>
      <c r="J540" s="62"/>
      <c r="K540" s="62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 x14ac:dyDescent="0.2">
      <c r="A541" s="4"/>
      <c r="B541" s="4"/>
      <c r="C541" s="49"/>
      <c r="D541" s="91"/>
      <c r="E541" s="92"/>
      <c r="F541" s="23"/>
      <c r="G541" s="23"/>
      <c r="H541" s="23"/>
      <c r="I541" s="23"/>
      <c r="J541" s="62"/>
      <c r="K541" s="62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 x14ac:dyDescent="0.2">
      <c r="A542" s="4"/>
      <c r="B542" s="4"/>
      <c r="C542" s="49"/>
      <c r="D542" s="91"/>
      <c r="E542" s="92"/>
      <c r="F542" s="23"/>
      <c r="G542" s="23"/>
      <c r="H542" s="23"/>
      <c r="I542" s="23"/>
      <c r="J542" s="62"/>
      <c r="K542" s="62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 x14ac:dyDescent="0.2">
      <c r="A543" s="4"/>
      <c r="B543" s="4"/>
      <c r="C543" s="49"/>
      <c r="D543" s="91"/>
      <c r="E543" s="92"/>
      <c r="F543" s="23"/>
      <c r="G543" s="23"/>
      <c r="H543" s="23"/>
      <c r="I543" s="23"/>
      <c r="J543" s="62"/>
      <c r="K543" s="62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 x14ac:dyDescent="0.2">
      <c r="A544" s="4"/>
      <c r="B544" s="4"/>
      <c r="C544" s="49"/>
      <c r="D544" s="91"/>
      <c r="E544" s="92"/>
      <c r="F544" s="23"/>
      <c r="G544" s="23"/>
      <c r="H544" s="23"/>
      <c r="I544" s="23"/>
      <c r="J544" s="62"/>
      <c r="K544" s="6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 x14ac:dyDescent="0.2">
      <c r="A545" s="4"/>
      <c r="B545" s="4"/>
      <c r="C545" s="49"/>
      <c r="D545" s="91"/>
      <c r="E545" s="92"/>
      <c r="F545" s="23"/>
      <c r="G545" s="23"/>
      <c r="H545" s="23"/>
      <c r="I545" s="23"/>
      <c r="J545" s="62"/>
      <c r="K545" s="6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 x14ac:dyDescent="0.2">
      <c r="A546" s="4"/>
      <c r="B546" s="4"/>
      <c r="C546" s="49"/>
      <c r="D546" s="91"/>
      <c r="E546" s="92"/>
      <c r="F546" s="23"/>
      <c r="G546" s="23"/>
      <c r="H546" s="23"/>
      <c r="I546" s="23"/>
      <c r="J546" s="62"/>
      <c r="K546" s="6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 x14ac:dyDescent="0.2">
      <c r="A547" s="4"/>
      <c r="B547" s="4"/>
      <c r="C547" s="49"/>
      <c r="D547" s="91"/>
      <c r="E547" s="92"/>
      <c r="F547" s="23"/>
      <c r="G547" s="23"/>
      <c r="H547" s="23"/>
      <c r="I547" s="23"/>
      <c r="J547" s="62"/>
      <c r="K547" s="6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 x14ac:dyDescent="0.2">
      <c r="A548" s="4"/>
      <c r="B548" s="4"/>
      <c r="C548" s="49"/>
      <c r="D548" s="91"/>
      <c r="E548" s="92"/>
      <c r="F548" s="23"/>
      <c r="G548" s="23"/>
      <c r="H548" s="23"/>
      <c r="I548" s="23"/>
      <c r="J548" s="62"/>
      <c r="K548" s="6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 x14ac:dyDescent="0.2">
      <c r="A549" s="4"/>
      <c r="B549" s="4"/>
      <c r="C549" s="49"/>
      <c r="D549" s="91"/>
      <c r="E549" s="92"/>
      <c r="F549" s="23"/>
      <c r="G549" s="23"/>
      <c r="H549" s="23"/>
      <c r="I549" s="23"/>
      <c r="J549" s="62"/>
      <c r="K549" s="6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 x14ac:dyDescent="0.2">
      <c r="A550" s="4"/>
      <c r="B550" s="4"/>
      <c r="C550" s="49"/>
      <c r="D550" s="91"/>
      <c r="E550" s="92"/>
      <c r="F550" s="23"/>
      <c r="G550" s="23"/>
      <c r="H550" s="23"/>
      <c r="I550" s="23"/>
      <c r="J550" s="62"/>
      <c r="K550" s="6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 x14ac:dyDescent="0.2">
      <c r="A551" s="4"/>
      <c r="B551" s="4"/>
      <c r="C551" s="49"/>
      <c r="D551" s="91"/>
      <c r="E551" s="92"/>
      <c r="F551" s="23"/>
      <c r="G551" s="23"/>
      <c r="H551" s="23"/>
      <c r="I551" s="23"/>
      <c r="J551" s="62"/>
      <c r="K551" s="6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 x14ac:dyDescent="0.2">
      <c r="A552" s="4"/>
      <c r="B552" s="4"/>
      <c r="C552" s="49"/>
      <c r="D552" s="91"/>
      <c r="E552" s="92"/>
      <c r="F552" s="23"/>
      <c r="G552" s="23"/>
      <c r="H552" s="23"/>
      <c r="I552" s="23"/>
      <c r="J552" s="62"/>
      <c r="K552" s="6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 x14ac:dyDescent="0.2">
      <c r="A553" s="4"/>
      <c r="B553" s="4"/>
      <c r="C553" s="49"/>
      <c r="D553" s="91"/>
      <c r="E553" s="92"/>
      <c r="F553" s="23"/>
      <c r="G553" s="23"/>
      <c r="H553" s="23"/>
      <c r="I553" s="23"/>
      <c r="J553" s="62"/>
      <c r="K553" s="6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 x14ac:dyDescent="0.2">
      <c r="A554" s="4"/>
      <c r="B554" s="4"/>
      <c r="C554" s="49"/>
      <c r="D554" s="91"/>
      <c r="E554" s="92"/>
      <c r="F554" s="23"/>
      <c r="G554" s="23"/>
      <c r="H554" s="23"/>
      <c r="I554" s="23"/>
      <c r="J554" s="62"/>
      <c r="K554" s="6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 x14ac:dyDescent="0.2">
      <c r="A555" s="4"/>
      <c r="B555" s="4"/>
      <c r="C555" s="49"/>
      <c r="D555" s="91"/>
      <c r="E555" s="92"/>
      <c r="F555" s="23"/>
      <c r="G555" s="23"/>
      <c r="H555" s="23"/>
      <c r="I555" s="23"/>
      <c r="J555" s="62"/>
      <c r="K555" s="6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 x14ac:dyDescent="0.2">
      <c r="A556" s="4"/>
      <c r="B556" s="4"/>
      <c r="C556" s="49"/>
      <c r="D556" s="91"/>
      <c r="E556" s="92"/>
      <c r="F556" s="23"/>
      <c r="G556" s="23"/>
      <c r="H556" s="23"/>
      <c r="I556" s="23"/>
      <c r="J556" s="62"/>
      <c r="K556" s="6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 x14ac:dyDescent="0.2">
      <c r="A557" s="4"/>
      <c r="B557" s="4"/>
      <c r="C557" s="49"/>
      <c r="D557" s="91"/>
      <c r="E557" s="92"/>
      <c r="F557" s="23"/>
      <c r="G557" s="23"/>
      <c r="H557" s="23"/>
      <c r="I557" s="23"/>
      <c r="J557" s="62"/>
      <c r="K557" s="6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 x14ac:dyDescent="0.2">
      <c r="A558" s="4"/>
      <c r="B558" s="4"/>
      <c r="C558" s="49"/>
      <c r="D558" s="91"/>
      <c r="E558" s="92"/>
      <c r="F558" s="23"/>
      <c r="G558" s="23"/>
      <c r="H558" s="23"/>
      <c r="I558" s="23"/>
      <c r="J558" s="62"/>
      <c r="K558" s="6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 x14ac:dyDescent="0.2">
      <c r="A559" s="4"/>
      <c r="B559" s="4"/>
      <c r="C559" s="49"/>
      <c r="D559" s="91"/>
      <c r="E559" s="92"/>
      <c r="F559" s="23"/>
      <c r="G559" s="23"/>
      <c r="H559" s="23"/>
      <c r="I559" s="23"/>
      <c r="J559" s="62"/>
      <c r="K559" s="6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 x14ac:dyDescent="0.2">
      <c r="A560" s="4"/>
      <c r="B560" s="4"/>
      <c r="C560" s="49"/>
      <c r="D560" s="91"/>
      <c r="E560" s="92"/>
      <c r="F560" s="23"/>
      <c r="G560" s="23"/>
      <c r="H560" s="23"/>
      <c r="I560" s="23"/>
      <c r="J560" s="62"/>
      <c r="K560" s="6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 x14ac:dyDescent="0.2">
      <c r="A561" s="4"/>
      <c r="B561" s="4"/>
      <c r="C561" s="49"/>
      <c r="D561" s="91"/>
      <c r="E561" s="92"/>
      <c r="F561" s="23"/>
      <c r="G561" s="23"/>
      <c r="H561" s="23"/>
      <c r="I561" s="23"/>
      <c r="J561" s="62"/>
      <c r="K561" s="6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 x14ac:dyDescent="0.2">
      <c r="A562" s="4"/>
      <c r="B562" s="4"/>
      <c r="C562" s="49"/>
      <c r="D562" s="91"/>
      <c r="E562" s="92"/>
      <c r="F562" s="23"/>
      <c r="G562" s="23"/>
      <c r="H562" s="23"/>
      <c r="I562" s="23"/>
      <c r="J562" s="62"/>
      <c r="K562" s="6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 x14ac:dyDescent="0.2">
      <c r="A563" s="4"/>
      <c r="B563" s="4"/>
      <c r="C563" s="49"/>
      <c r="D563" s="91"/>
      <c r="E563" s="92"/>
      <c r="F563" s="23"/>
      <c r="G563" s="23"/>
      <c r="H563" s="23"/>
      <c r="I563" s="23"/>
      <c r="J563" s="62"/>
      <c r="K563" s="6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 x14ac:dyDescent="0.2">
      <c r="A564" s="4"/>
      <c r="B564" s="4"/>
      <c r="C564" s="49"/>
      <c r="D564" s="91"/>
      <c r="E564" s="92"/>
      <c r="F564" s="23"/>
      <c r="G564" s="23"/>
      <c r="H564" s="23"/>
      <c r="I564" s="23"/>
      <c r="J564" s="62"/>
      <c r="K564" s="6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 x14ac:dyDescent="0.2">
      <c r="A565" s="4"/>
      <c r="B565" s="4"/>
      <c r="C565" s="49"/>
      <c r="D565" s="91"/>
      <c r="E565" s="92"/>
      <c r="F565" s="23"/>
      <c r="G565" s="23"/>
      <c r="H565" s="23"/>
      <c r="I565" s="23"/>
      <c r="J565" s="62"/>
      <c r="K565" s="6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 x14ac:dyDescent="0.2">
      <c r="A566" s="4"/>
      <c r="B566" s="4"/>
      <c r="C566" s="49"/>
      <c r="D566" s="91"/>
      <c r="E566" s="92"/>
      <c r="F566" s="23"/>
      <c r="G566" s="23"/>
      <c r="H566" s="23"/>
      <c r="I566" s="23"/>
      <c r="J566" s="62"/>
      <c r="K566" s="6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 x14ac:dyDescent="0.2">
      <c r="A567" s="4"/>
      <c r="B567" s="4"/>
      <c r="C567" s="49"/>
      <c r="D567" s="91"/>
      <c r="E567" s="92"/>
      <c r="F567" s="23"/>
      <c r="G567" s="23"/>
      <c r="H567" s="23"/>
      <c r="I567" s="23"/>
      <c r="J567" s="62"/>
      <c r="K567" s="6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 x14ac:dyDescent="0.2">
      <c r="A568" s="4"/>
      <c r="B568" s="4"/>
      <c r="C568" s="49"/>
      <c r="D568" s="91"/>
      <c r="E568" s="92"/>
      <c r="F568" s="23"/>
      <c r="G568" s="23"/>
      <c r="H568" s="23"/>
      <c r="I568" s="23"/>
      <c r="J568" s="62"/>
      <c r="K568" s="6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 x14ac:dyDescent="0.2">
      <c r="A569" s="4"/>
      <c r="B569" s="4"/>
      <c r="C569" s="49"/>
      <c r="D569" s="91"/>
      <c r="E569" s="92"/>
      <c r="F569" s="23"/>
      <c r="G569" s="23"/>
      <c r="H569" s="23"/>
      <c r="I569" s="23"/>
      <c r="J569" s="62"/>
      <c r="K569" s="6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 x14ac:dyDescent="0.2">
      <c r="A570" s="4"/>
      <c r="B570" s="4"/>
      <c r="C570" s="49"/>
      <c r="D570" s="91"/>
      <c r="E570" s="92"/>
      <c r="F570" s="23"/>
      <c r="G570" s="23"/>
      <c r="H570" s="23"/>
      <c r="I570" s="23"/>
      <c r="J570" s="62"/>
      <c r="K570" s="6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 x14ac:dyDescent="0.2">
      <c r="A571" s="4"/>
      <c r="B571" s="4"/>
      <c r="C571" s="49"/>
      <c r="D571" s="91"/>
      <c r="E571" s="92"/>
      <c r="F571" s="23"/>
      <c r="G571" s="23"/>
      <c r="H571" s="23"/>
      <c r="I571" s="23"/>
      <c r="J571" s="62"/>
      <c r="K571" s="6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 x14ac:dyDescent="0.2">
      <c r="A572" s="4"/>
      <c r="B572" s="4"/>
      <c r="C572" s="49"/>
      <c r="D572" s="91"/>
      <c r="E572" s="92"/>
      <c r="F572" s="23"/>
      <c r="G572" s="23"/>
      <c r="H572" s="23"/>
      <c r="I572" s="23"/>
      <c r="J572" s="62"/>
      <c r="K572" s="6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 x14ac:dyDescent="0.2">
      <c r="A573" s="4"/>
      <c r="B573" s="4"/>
      <c r="C573" s="49"/>
      <c r="D573" s="91"/>
      <c r="E573" s="92"/>
      <c r="F573" s="23"/>
      <c r="G573" s="23"/>
      <c r="H573" s="23"/>
      <c r="I573" s="23"/>
      <c r="J573" s="62"/>
      <c r="K573" s="6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 x14ac:dyDescent="0.2">
      <c r="A574" s="4"/>
      <c r="B574" s="4"/>
      <c r="C574" s="49"/>
      <c r="D574" s="91"/>
      <c r="E574" s="92"/>
      <c r="F574" s="23"/>
      <c r="G574" s="23"/>
      <c r="H574" s="23"/>
      <c r="I574" s="23"/>
      <c r="J574" s="62"/>
      <c r="K574" s="6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 x14ac:dyDescent="0.2">
      <c r="A575" s="4"/>
      <c r="B575" s="4"/>
      <c r="C575" s="49"/>
      <c r="D575" s="91"/>
      <c r="E575" s="92"/>
      <c r="F575" s="23"/>
      <c r="G575" s="23"/>
      <c r="H575" s="23"/>
      <c r="I575" s="23"/>
      <c r="J575" s="62"/>
      <c r="K575" s="6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 x14ac:dyDescent="0.2">
      <c r="A576" s="4"/>
      <c r="B576" s="4"/>
      <c r="C576" s="49"/>
      <c r="D576" s="91"/>
      <c r="E576" s="92"/>
      <c r="F576" s="23"/>
      <c r="G576" s="23"/>
      <c r="H576" s="23"/>
      <c r="I576" s="23"/>
      <c r="J576" s="62"/>
      <c r="K576" s="6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 x14ac:dyDescent="0.2">
      <c r="A577" s="4"/>
      <c r="B577" s="4"/>
      <c r="C577" s="49"/>
      <c r="D577" s="91"/>
      <c r="E577" s="92"/>
      <c r="F577" s="23"/>
      <c r="G577" s="23"/>
      <c r="H577" s="23"/>
      <c r="I577" s="23"/>
      <c r="J577" s="62"/>
      <c r="K577" s="6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 x14ac:dyDescent="0.2">
      <c r="A578" s="4"/>
      <c r="B578" s="4"/>
      <c r="C578" s="49"/>
      <c r="D578" s="91"/>
      <c r="E578" s="92"/>
      <c r="F578" s="23"/>
      <c r="G578" s="23"/>
      <c r="H578" s="23"/>
      <c r="I578" s="23"/>
      <c r="J578" s="62"/>
      <c r="K578" s="6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 x14ac:dyDescent="0.2">
      <c r="A579" s="4"/>
      <c r="B579" s="4"/>
      <c r="C579" s="49"/>
      <c r="D579" s="91"/>
      <c r="E579" s="92"/>
      <c r="F579" s="23"/>
      <c r="G579" s="23"/>
      <c r="H579" s="23"/>
      <c r="I579" s="23"/>
      <c r="J579" s="62"/>
      <c r="K579" s="6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 x14ac:dyDescent="0.2">
      <c r="A580" s="4"/>
      <c r="B580" s="4"/>
      <c r="C580" s="49"/>
      <c r="D580" s="91"/>
      <c r="E580" s="92"/>
      <c r="F580" s="23"/>
      <c r="G580" s="23"/>
      <c r="H580" s="23"/>
      <c r="I580" s="23"/>
      <c r="J580" s="62"/>
      <c r="K580" s="6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 x14ac:dyDescent="0.2">
      <c r="A581" s="4"/>
      <c r="B581" s="4"/>
      <c r="C581" s="49"/>
      <c r="D581" s="91"/>
      <c r="E581" s="92"/>
      <c r="F581" s="23"/>
      <c r="G581" s="23"/>
      <c r="H581" s="23"/>
      <c r="I581" s="23"/>
      <c r="J581" s="62"/>
      <c r="K581" s="6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 x14ac:dyDescent="0.2">
      <c r="A582" s="4"/>
      <c r="B582" s="4"/>
      <c r="C582" s="49"/>
      <c r="D582" s="91"/>
      <c r="E582" s="92"/>
      <c r="F582" s="23"/>
      <c r="G582" s="23"/>
      <c r="H582" s="23"/>
      <c r="I582" s="23"/>
      <c r="J582" s="62"/>
      <c r="K582" s="6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 x14ac:dyDescent="0.2">
      <c r="A583" s="4"/>
      <c r="B583" s="4"/>
      <c r="C583" s="49"/>
      <c r="D583" s="91"/>
      <c r="E583" s="92"/>
      <c r="F583" s="23"/>
      <c r="G583" s="23"/>
      <c r="H583" s="23"/>
      <c r="I583" s="23"/>
      <c r="J583" s="62"/>
      <c r="K583" s="6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 x14ac:dyDescent="0.2">
      <c r="A584" s="4"/>
      <c r="B584" s="4"/>
      <c r="C584" s="49"/>
      <c r="D584" s="91"/>
      <c r="E584" s="92"/>
      <c r="F584" s="23"/>
      <c r="G584" s="23"/>
      <c r="H584" s="23"/>
      <c r="I584" s="23"/>
      <c r="J584" s="62"/>
      <c r="K584" s="6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 x14ac:dyDescent="0.2">
      <c r="A585" s="4"/>
      <c r="B585" s="4"/>
      <c r="C585" s="49"/>
      <c r="D585" s="91"/>
      <c r="E585" s="92"/>
      <c r="F585" s="23"/>
      <c r="G585" s="23"/>
      <c r="H585" s="23"/>
      <c r="I585" s="23"/>
      <c r="J585" s="62"/>
      <c r="K585" s="6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 x14ac:dyDescent="0.2">
      <c r="A586" s="4"/>
      <c r="B586" s="4"/>
      <c r="C586" s="49"/>
      <c r="D586" s="91"/>
      <c r="E586" s="92"/>
      <c r="F586" s="23"/>
      <c r="G586" s="23"/>
      <c r="H586" s="23"/>
      <c r="I586" s="23"/>
      <c r="J586" s="62"/>
      <c r="K586" s="6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 x14ac:dyDescent="0.2">
      <c r="A587" s="4"/>
      <c r="B587" s="4"/>
      <c r="C587" s="49"/>
      <c r="D587" s="91"/>
      <c r="E587" s="92"/>
      <c r="F587" s="23"/>
      <c r="G587" s="23"/>
      <c r="H587" s="23"/>
      <c r="I587" s="23"/>
      <c r="J587" s="62"/>
      <c r="K587" s="6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 x14ac:dyDescent="0.2">
      <c r="A588" s="4"/>
      <c r="B588" s="4"/>
      <c r="C588" s="49"/>
      <c r="D588" s="91"/>
      <c r="E588" s="92"/>
      <c r="F588" s="23"/>
      <c r="G588" s="23"/>
      <c r="H588" s="23"/>
      <c r="I588" s="23"/>
      <c r="J588" s="62"/>
      <c r="K588" s="6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 x14ac:dyDescent="0.2">
      <c r="A589" s="4"/>
      <c r="B589" s="4"/>
      <c r="C589" s="49"/>
      <c r="D589" s="91"/>
      <c r="E589" s="92"/>
      <c r="F589" s="23"/>
      <c r="G589" s="23"/>
      <c r="H589" s="23"/>
      <c r="I589" s="23"/>
      <c r="J589" s="62"/>
      <c r="K589" s="6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 x14ac:dyDescent="0.2">
      <c r="A590" s="4"/>
      <c r="B590" s="4"/>
      <c r="C590" s="49"/>
      <c r="D590" s="91"/>
      <c r="E590" s="92"/>
      <c r="F590" s="23"/>
      <c r="G590" s="23"/>
      <c r="H590" s="23"/>
      <c r="I590" s="23"/>
      <c r="J590" s="62"/>
      <c r="K590" s="6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 x14ac:dyDescent="0.2">
      <c r="A591" s="4"/>
      <c r="B591" s="4"/>
      <c r="C591" s="49"/>
      <c r="D591" s="91"/>
      <c r="E591" s="92"/>
      <c r="F591" s="23"/>
      <c r="G591" s="23"/>
      <c r="H591" s="23"/>
      <c r="I591" s="23"/>
      <c r="J591" s="62"/>
      <c r="K591" s="6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 x14ac:dyDescent="0.2">
      <c r="A592" s="4"/>
      <c r="B592" s="4"/>
      <c r="C592" s="49"/>
      <c r="D592" s="91"/>
      <c r="E592" s="92"/>
      <c r="F592" s="23"/>
      <c r="G592" s="23"/>
      <c r="H592" s="23"/>
      <c r="I592" s="23"/>
      <c r="J592" s="62"/>
      <c r="K592" s="6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 x14ac:dyDescent="0.2">
      <c r="A593" s="4"/>
      <c r="B593" s="4"/>
      <c r="C593" s="49"/>
      <c r="D593" s="91"/>
      <c r="E593" s="92"/>
      <c r="F593" s="23"/>
      <c r="G593" s="23"/>
      <c r="H593" s="23"/>
      <c r="I593" s="23"/>
      <c r="J593" s="62"/>
      <c r="K593" s="6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 x14ac:dyDescent="0.2">
      <c r="A594" s="4"/>
      <c r="B594" s="4"/>
      <c r="C594" s="49"/>
      <c r="D594" s="91"/>
      <c r="E594" s="92"/>
      <c r="F594" s="23"/>
      <c r="G594" s="23"/>
      <c r="H594" s="23"/>
      <c r="I594" s="23"/>
      <c r="J594" s="62"/>
      <c r="K594" s="6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 x14ac:dyDescent="0.2">
      <c r="A595" s="4"/>
      <c r="B595" s="4"/>
      <c r="C595" s="49"/>
      <c r="D595" s="91"/>
      <c r="E595" s="92"/>
      <c r="F595" s="23"/>
      <c r="G595" s="23"/>
      <c r="H595" s="23"/>
      <c r="I595" s="23"/>
      <c r="J595" s="62"/>
      <c r="K595" s="6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 x14ac:dyDescent="0.2">
      <c r="A596" s="4"/>
      <c r="B596" s="4"/>
      <c r="C596" s="49"/>
      <c r="D596" s="91"/>
      <c r="E596" s="92"/>
      <c r="F596" s="23"/>
      <c r="G596" s="23"/>
      <c r="H596" s="23"/>
      <c r="I596" s="23"/>
      <c r="J596" s="62"/>
      <c r="K596" s="6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 x14ac:dyDescent="0.2">
      <c r="A597" s="4"/>
      <c r="B597" s="4"/>
      <c r="C597" s="49"/>
      <c r="D597" s="91"/>
      <c r="E597" s="92"/>
      <c r="F597" s="23"/>
      <c r="G597" s="23"/>
      <c r="H597" s="23"/>
      <c r="I597" s="23"/>
      <c r="J597" s="62"/>
      <c r="K597" s="6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 x14ac:dyDescent="0.2">
      <c r="A598" s="4"/>
      <c r="B598" s="4"/>
      <c r="C598" s="49"/>
      <c r="D598" s="91"/>
      <c r="E598" s="92"/>
      <c r="F598" s="23"/>
      <c r="G598" s="23"/>
      <c r="H598" s="23"/>
      <c r="I598" s="23"/>
      <c r="J598" s="62"/>
      <c r="K598" s="6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 x14ac:dyDescent="0.2">
      <c r="A599" s="4"/>
      <c r="B599" s="4"/>
      <c r="C599" s="49"/>
      <c r="D599" s="91"/>
      <c r="E599" s="92"/>
      <c r="F599" s="23"/>
      <c r="G599" s="23"/>
      <c r="H599" s="23"/>
      <c r="I599" s="23"/>
      <c r="J599" s="62"/>
      <c r="K599" s="6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 x14ac:dyDescent="0.2">
      <c r="A600" s="4"/>
      <c r="B600" s="4"/>
      <c r="C600" s="49"/>
      <c r="D600" s="91"/>
      <c r="E600" s="92"/>
      <c r="F600" s="23"/>
      <c r="G600" s="23"/>
      <c r="H600" s="23"/>
      <c r="I600" s="23"/>
      <c r="J600" s="62"/>
      <c r="K600" s="6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 x14ac:dyDescent="0.2">
      <c r="A601" s="4"/>
      <c r="B601" s="4"/>
      <c r="C601" s="49"/>
      <c r="D601" s="91"/>
      <c r="E601" s="92"/>
      <c r="F601" s="23"/>
      <c r="G601" s="23"/>
      <c r="H601" s="23"/>
      <c r="I601" s="23"/>
      <c r="J601" s="62"/>
      <c r="K601" s="6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 x14ac:dyDescent="0.2">
      <c r="A602" s="4"/>
      <c r="B602" s="4"/>
      <c r="C602" s="49"/>
      <c r="D602" s="91"/>
      <c r="E602" s="92"/>
      <c r="F602" s="23"/>
      <c r="G602" s="23"/>
      <c r="H602" s="23"/>
      <c r="I602" s="23"/>
      <c r="J602" s="62"/>
      <c r="K602" s="6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 x14ac:dyDescent="0.2">
      <c r="A603" s="4"/>
      <c r="B603" s="4"/>
      <c r="C603" s="49"/>
      <c r="D603" s="91"/>
      <c r="E603" s="92"/>
      <c r="F603" s="23"/>
      <c r="G603" s="23"/>
      <c r="H603" s="23"/>
      <c r="I603" s="23"/>
      <c r="J603" s="62"/>
      <c r="K603" s="6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 x14ac:dyDescent="0.2">
      <c r="A604" s="4"/>
      <c r="B604" s="4"/>
      <c r="C604" s="49"/>
      <c r="D604" s="91"/>
      <c r="E604" s="92"/>
      <c r="F604" s="23"/>
      <c r="G604" s="23"/>
      <c r="H604" s="23"/>
      <c r="I604" s="23"/>
      <c r="J604" s="62"/>
      <c r="K604" s="6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 x14ac:dyDescent="0.2">
      <c r="A605" s="4"/>
      <c r="B605" s="4"/>
      <c r="C605" s="49"/>
      <c r="D605" s="91"/>
      <c r="E605" s="92"/>
      <c r="F605" s="23"/>
      <c r="G605" s="23"/>
      <c r="H605" s="23"/>
      <c r="I605" s="23"/>
      <c r="J605" s="62"/>
      <c r="K605" s="6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 x14ac:dyDescent="0.2">
      <c r="A606" s="4"/>
      <c r="B606" s="4"/>
      <c r="C606" s="49"/>
      <c r="D606" s="91"/>
      <c r="E606" s="92"/>
      <c r="F606" s="23"/>
      <c r="G606" s="23"/>
      <c r="H606" s="23"/>
      <c r="I606" s="23"/>
      <c r="J606" s="62"/>
      <c r="K606" s="6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 x14ac:dyDescent="0.2">
      <c r="A607" s="4"/>
      <c r="B607" s="4"/>
      <c r="C607" s="49"/>
      <c r="D607" s="91"/>
      <c r="E607" s="92"/>
      <c r="F607" s="23"/>
      <c r="G607" s="23"/>
      <c r="H607" s="23"/>
      <c r="I607" s="23"/>
      <c r="J607" s="62"/>
      <c r="K607" s="6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 x14ac:dyDescent="0.2">
      <c r="A608" s="4"/>
      <c r="B608" s="4"/>
      <c r="C608" s="49"/>
      <c r="D608" s="91"/>
      <c r="E608" s="92"/>
      <c r="F608" s="23"/>
      <c r="G608" s="23"/>
      <c r="H608" s="23"/>
      <c r="I608" s="23"/>
      <c r="J608" s="62"/>
      <c r="K608" s="6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 x14ac:dyDescent="0.2">
      <c r="A609" s="4"/>
      <c r="B609" s="4"/>
      <c r="C609" s="49"/>
      <c r="D609" s="91"/>
      <c r="E609" s="92"/>
      <c r="F609" s="23"/>
      <c r="G609" s="23"/>
      <c r="H609" s="23"/>
      <c r="I609" s="23"/>
      <c r="J609" s="62"/>
      <c r="K609" s="6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 x14ac:dyDescent="0.2">
      <c r="A610" s="4"/>
      <c r="B610" s="4"/>
      <c r="C610" s="49"/>
      <c r="D610" s="91"/>
      <c r="E610" s="92"/>
      <c r="F610" s="23"/>
      <c r="G610" s="23"/>
      <c r="H610" s="23"/>
      <c r="I610" s="23"/>
      <c r="J610" s="62"/>
      <c r="K610" s="6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 x14ac:dyDescent="0.2">
      <c r="A611" s="4"/>
      <c r="B611" s="4"/>
      <c r="C611" s="49"/>
      <c r="D611" s="91"/>
      <c r="E611" s="92"/>
      <c r="F611" s="23"/>
      <c r="G611" s="23"/>
      <c r="H611" s="23"/>
      <c r="I611" s="23"/>
      <c r="J611" s="62"/>
      <c r="K611" s="6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 x14ac:dyDescent="0.2">
      <c r="A612" s="4"/>
      <c r="B612" s="4"/>
      <c r="C612" s="49"/>
      <c r="D612" s="91"/>
      <c r="E612" s="92"/>
      <c r="F612" s="23"/>
      <c r="G612" s="23"/>
      <c r="H612" s="23"/>
      <c r="I612" s="23"/>
      <c r="J612" s="62"/>
      <c r="K612" s="6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 x14ac:dyDescent="0.2">
      <c r="A613" s="4"/>
      <c r="B613" s="4"/>
      <c r="C613" s="49"/>
      <c r="D613" s="91"/>
      <c r="E613" s="92"/>
      <c r="F613" s="23"/>
      <c r="G613" s="23"/>
      <c r="H613" s="23"/>
      <c r="I613" s="23"/>
      <c r="J613" s="62"/>
      <c r="K613" s="6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 x14ac:dyDescent="0.2">
      <c r="A614" s="4"/>
      <c r="B614" s="4"/>
      <c r="C614" s="49"/>
      <c r="D614" s="91"/>
      <c r="E614" s="92"/>
      <c r="F614" s="23"/>
      <c r="G614" s="23"/>
      <c r="H614" s="23"/>
      <c r="I614" s="23"/>
      <c r="J614" s="62"/>
      <c r="K614" s="6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 x14ac:dyDescent="0.2">
      <c r="A615" s="4"/>
      <c r="B615" s="4"/>
      <c r="C615" s="49"/>
      <c r="D615" s="91"/>
      <c r="E615" s="92"/>
      <c r="F615" s="23"/>
      <c r="G615" s="23"/>
      <c r="H615" s="23"/>
      <c r="I615" s="23"/>
      <c r="J615" s="62"/>
      <c r="K615" s="6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 x14ac:dyDescent="0.2">
      <c r="A616" s="4"/>
      <c r="B616" s="4"/>
      <c r="C616" s="49"/>
      <c r="D616" s="91"/>
      <c r="E616" s="92"/>
      <c r="F616" s="23"/>
      <c r="G616" s="23"/>
      <c r="H616" s="23"/>
      <c r="I616" s="23"/>
      <c r="J616" s="62"/>
      <c r="K616" s="6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 x14ac:dyDescent="0.2">
      <c r="A617" s="4"/>
      <c r="B617" s="4"/>
      <c r="C617" s="49"/>
      <c r="D617" s="91"/>
      <c r="E617" s="92"/>
      <c r="F617" s="23"/>
      <c r="G617" s="23"/>
      <c r="H617" s="23"/>
      <c r="I617" s="23"/>
      <c r="J617" s="62"/>
      <c r="K617" s="6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 x14ac:dyDescent="0.2">
      <c r="A618" s="4"/>
      <c r="B618" s="4"/>
      <c r="C618" s="49"/>
      <c r="D618" s="91"/>
      <c r="E618" s="92"/>
      <c r="F618" s="23"/>
      <c r="G618" s="23"/>
      <c r="H618" s="23"/>
      <c r="I618" s="23"/>
      <c r="J618" s="62"/>
      <c r="K618" s="6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 x14ac:dyDescent="0.2">
      <c r="A619" s="4"/>
      <c r="B619" s="4"/>
      <c r="C619" s="49"/>
      <c r="D619" s="91"/>
      <c r="E619" s="92"/>
      <c r="F619" s="23"/>
      <c r="G619" s="23"/>
      <c r="H619" s="23"/>
      <c r="I619" s="23"/>
      <c r="J619" s="62"/>
      <c r="K619" s="6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 x14ac:dyDescent="0.2">
      <c r="A620" s="4"/>
      <c r="B620" s="4"/>
      <c r="C620" s="49"/>
      <c r="D620" s="91"/>
      <c r="E620" s="92"/>
      <c r="F620" s="23"/>
      <c r="G620" s="23"/>
      <c r="H620" s="23"/>
      <c r="I620" s="23"/>
      <c r="J620" s="62"/>
      <c r="K620" s="6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 x14ac:dyDescent="0.2">
      <c r="A621" s="4"/>
      <c r="B621" s="4"/>
      <c r="C621" s="49"/>
      <c r="D621" s="91"/>
      <c r="E621" s="92"/>
      <c r="F621" s="23"/>
      <c r="G621" s="23"/>
      <c r="H621" s="23"/>
      <c r="I621" s="23"/>
      <c r="J621" s="62"/>
      <c r="K621" s="6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 x14ac:dyDescent="0.2">
      <c r="A622" s="4"/>
      <c r="B622" s="4"/>
      <c r="C622" s="49"/>
      <c r="D622" s="91"/>
      <c r="E622" s="92"/>
      <c r="F622" s="23"/>
      <c r="G622" s="23"/>
      <c r="H622" s="23"/>
      <c r="I622" s="23"/>
      <c r="J622" s="62"/>
      <c r="K622" s="6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 x14ac:dyDescent="0.2">
      <c r="A623" s="4"/>
      <c r="B623" s="4"/>
      <c r="C623" s="49"/>
      <c r="D623" s="91"/>
      <c r="E623" s="92"/>
      <c r="F623" s="23"/>
      <c r="G623" s="23"/>
      <c r="H623" s="23"/>
      <c r="I623" s="23"/>
      <c r="J623" s="62"/>
      <c r="K623" s="6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 x14ac:dyDescent="0.2">
      <c r="A624" s="4"/>
      <c r="B624" s="4"/>
      <c r="C624" s="49"/>
      <c r="D624" s="91"/>
      <c r="E624" s="92"/>
      <c r="F624" s="23"/>
      <c r="G624" s="23"/>
      <c r="H624" s="23"/>
      <c r="I624" s="23"/>
      <c r="J624" s="62"/>
      <c r="K624" s="6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 x14ac:dyDescent="0.2">
      <c r="A625" s="4"/>
      <c r="B625" s="4"/>
      <c r="C625" s="49"/>
      <c r="D625" s="91"/>
      <c r="E625" s="92"/>
      <c r="F625" s="23"/>
      <c r="G625" s="23"/>
      <c r="H625" s="23"/>
      <c r="I625" s="23"/>
      <c r="J625" s="62"/>
      <c r="K625" s="6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 x14ac:dyDescent="0.2">
      <c r="A626" s="4"/>
      <c r="B626" s="4"/>
      <c r="C626" s="49"/>
      <c r="D626" s="91"/>
      <c r="E626" s="92"/>
      <c r="F626" s="23"/>
      <c r="G626" s="23"/>
      <c r="H626" s="23"/>
      <c r="I626" s="23"/>
      <c r="J626" s="62"/>
      <c r="K626" s="6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 x14ac:dyDescent="0.2">
      <c r="A627" s="4"/>
      <c r="B627" s="4"/>
      <c r="C627" s="49"/>
      <c r="D627" s="91"/>
      <c r="E627" s="92"/>
      <c r="F627" s="23"/>
      <c r="G627" s="23"/>
      <c r="H627" s="23"/>
      <c r="I627" s="23"/>
      <c r="J627" s="62"/>
      <c r="K627" s="6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 x14ac:dyDescent="0.2">
      <c r="A628" s="4"/>
      <c r="B628" s="4"/>
      <c r="C628" s="49"/>
      <c r="D628" s="91"/>
      <c r="E628" s="92"/>
      <c r="F628" s="23"/>
      <c r="G628" s="23"/>
      <c r="H628" s="23"/>
      <c r="I628" s="23"/>
      <c r="J628" s="62"/>
      <c r="K628" s="6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 x14ac:dyDescent="0.2">
      <c r="A629" s="4"/>
      <c r="B629" s="4"/>
      <c r="C629" s="49"/>
      <c r="D629" s="91"/>
      <c r="E629" s="92"/>
      <c r="F629" s="23"/>
      <c r="G629" s="23"/>
      <c r="H629" s="23"/>
      <c r="I629" s="23"/>
      <c r="J629" s="62"/>
      <c r="K629" s="6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 x14ac:dyDescent="0.2">
      <c r="A630" s="4"/>
      <c r="B630" s="4"/>
      <c r="C630" s="49"/>
      <c r="D630" s="91"/>
      <c r="E630" s="92"/>
      <c r="F630" s="23"/>
      <c r="G630" s="23"/>
      <c r="H630" s="23"/>
      <c r="I630" s="23"/>
      <c r="J630" s="62"/>
      <c r="K630" s="6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 x14ac:dyDescent="0.2">
      <c r="A631" s="4"/>
      <c r="B631" s="4"/>
      <c r="C631" s="49"/>
      <c r="D631" s="91"/>
      <c r="E631" s="92"/>
      <c r="F631" s="23"/>
      <c r="G631" s="23"/>
      <c r="H631" s="23"/>
      <c r="I631" s="23"/>
      <c r="J631" s="62"/>
      <c r="K631" s="6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 x14ac:dyDescent="0.2">
      <c r="A632" s="4"/>
      <c r="B632" s="4"/>
      <c r="C632" s="49"/>
      <c r="D632" s="91"/>
      <c r="E632" s="92"/>
      <c r="F632" s="23"/>
      <c r="G632" s="23"/>
      <c r="H632" s="23"/>
      <c r="I632" s="23"/>
      <c r="J632" s="62"/>
      <c r="K632" s="6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 x14ac:dyDescent="0.2">
      <c r="A633" s="4"/>
      <c r="B633" s="4"/>
      <c r="C633" s="49"/>
      <c r="D633" s="91"/>
      <c r="E633" s="92"/>
      <c r="F633" s="23"/>
      <c r="G633" s="23"/>
      <c r="H633" s="23"/>
      <c r="I633" s="23"/>
      <c r="J633" s="62"/>
      <c r="K633" s="6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 x14ac:dyDescent="0.2">
      <c r="A634" s="4"/>
      <c r="B634" s="4"/>
      <c r="C634" s="49"/>
      <c r="D634" s="91"/>
      <c r="E634" s="92"/>
      <c r="F634" s="23"/>
      <c r="G634" s="23"/>
      <c r="H634" s="23"/>
      <c r="I634" s="23"/>
      <c r="J634" s="62"/>
      <c r="K634" s="6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 x14ac:dyDescent="0.2">
      <c r="A635" s="4"/>
      <c r="B635" s="4"/>
      <c r="C635" s="49"/>
      <c r="D635" s="91"/>
      <c r="E635" s="92"/>
      <c r="F635" s="23"/>
      <c r="G635" s="23"/>
      <c r="H635" s="23"/>
      <c r="I635" s="23"/>
      <c r="J635" s="62"/>
      <c r="K635" s="6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 x14ac:dyDescent="0.2">
      <c r="A636" s="4"/>
      <c r="B636" s="4"/>
      <c r="C636" s="49"/>
      <c r="D636" s="91"/>
      <c r="E636" s="92"/>
      <c r="F636" s="23"/>
      <c r="G636" s="23"/>
      <c r="H636" s="23"/>
      <c r="I636" s="23"/>
      <c r="J636" s="62"/>
      <c r="K636" s="6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 x14ac:dyDescent="0.2">
      <c r="A637" s="4"/>
      <c r="B637" s="4"/>
      <c r="C637" s="49"/>
      <c r="D637" s="91"/>
      <c r="E637" s="92"/>
      <c r="F637" s="23"/>
      <c r="G637" s="23"/>
      <c r="H637" s="23"/>
      <c r="I637" s="23"/>
      <c r="J637" s="62"/>
      <c r="K637" s="6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 x14ac:dyDescent="0.2">
      <c r="A638" s="4"/>
      <c r="B638" s="4"/>
      <c r="C638" s="49"/>
      <c r="D638" s="91"/>
      <c r="E638" s="92"/>
      <c r="F638" s="23"/>
      <c r="G638" s="23"/>
      <c r="H638" s="23"/>
      <c r="I638" s="23"/>
      <c r="J638" s="62"/>
      <c r="K638" s="6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 x14ac:dyDescent="0.2">
      <c r="A639" s="4"/>
      <c r="B639" s="4"/>
      <c r="C639" s="49"/>
      <c r="D639" s="91"/>
      <c r="E639" s="92"/>
      <c r="F639" s="23"/>
      <c r="G639" s="23"/>
      <c r="H639" s="23"/>
      <c r="I639" s="23"/>
      <c r="J639" s="62"/>
      <c r="K639" s="6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 x14ac:dyDescent="0.2">
      <c r="A640" s="4"/>
      <c r="B640" s="4"/>
      <c r="C640" s="49"/>
      <c r="D640" s="91"/>
      <c r="E640" s="92"/>
      <c r="F640" s="23"/>
      <c r="G640" s="23"/>
      <c r="H640" s="23"/>
      <c r="I640" s="23"/>
      <c r="J640" s="62"/>
      <c r="K640" s="6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 x14ac:dyDescent="0.2">
      <c r="A641" s="4"/>
      <c r="B641" s="4"/>
      <c r="C641" s="49"/>
      <c r="D641" s="91"/>
      <c r="E641" s="92"/>
      <c r="F641" s="23"/>
      <c r="G641" s="23"/>
      <c r="H641" s="23"/>
      <c r="I641" s="23"/>
      <c r="J641" s="62"/>
      <c r="K641" s="6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 x14ac:dyDescent="0.2">
      <c r="A642" s="4"/>
      <c r="B642" s="4"/>
      <c r="C642" s="49"/>
      <c r="D642" s="91"/>
      <c r="E642" s="92"/>
      <c r="F642" s="23"/>
      <c r="G642" s="23"/>
      <c r="H642" s="23"/>
      <c r="I642" s="23"/>
      <c r="J642" s="62"/>
      <c r="K642" s="6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 x14ac:dyDescent="0.2">
      <c r="A643" s="4"/>
      <c r="B643" s="4"/>
      <c r="C643" s="49"/>
      <c r="D643" s="91"/>
      <c r="E643" s="92"/>
      <c r="F643" s="23"/>
      <c r="G643" s="23"/>
      <c r="H643" s="23"/>
      <c r="I643" s="23"/>
      <c r="J643" s="62"/>
      <c r="K643" s="6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 x14ac:dyDescent="0.2">
      <c r="A644" s="4"/>
      <c r="B644" s="4"/>
      <c r="C644" s="49"/>
      <c r="D644" s="91"/>
      <c r="E644" s="92"/>
      <c r="F644" s="23"/>
      <c r="G644" s="23"/>
      <c r="H644" s="23"/>
      <c r="I644" s="23"/>
      <c r="J644" s="62"/>
      <c r="K644" s="6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 x14ac:dyDescent="0.2">
      <c r="A645" s="4"/>
      <c r="B645" s="4"/>
      <c r="C645" s="49"/>
      <c r="D645" s="91"/>
      <c r="E645" s="92"/>
      <c r="F645" s="23"/>
      <c r="G645" s="23"/>
      <c r="H645" s="23"/>
      <c r="I645" s="23"/>
      <c r="J645" s="62"/>
      <c r="K645" s="6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 x14ac:dyDescent="0.2">
      <c r="A646" s="4"/>
      <c r="B646" s="4"/>
      <c r="C646" s="49"/>
      <c r="D646" s="91"/>
      <c r="E646" s="92"/>
      <c r="F646" s="23"/>
      <c r="G646" s="23"/>
      <c r="H646" s="23"/>
      <c r="I646" s="23"/>
      <c r="J646" s="62"/>
      <c r="K646" s="6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 x14ac:dyDescent="0.2">
      <c r="A647" s="4"/>
      <c r="B647" s="4"/>
      <c r="C647" s="49"/>
      <c r="D647" s="91"/>
      <c r="E647" s="92"/>
      <c r="F647" s="23"/>
      <c r="G647" s="23"/>
      <c r="H647" s="23"/>
      <c r="I647" s="23"/>
      <c r="J647" s="62"/>
      <c r="K647" s="6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 x14ac:dyDescent="0.2">
      <c r="A648" s="4"/>
      <c r="B648" s="4"/>
      <c r="C648" s="49"/>
      <c r="D648" s="91"/>
      <c r="E648" s="92"/>
      <c r="F648" s="23"/>
      <c r="G648" s="23"/>
      <c r="H648" s="23"/>
      <c r="I648" s="23"/>
      <c r="J648" s="62"/>
      <c r="K648" s="6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 x14ac:dyDescent="0.2">
      <c r="A649" s="4"/>
      <c r="B649" s="4"/>
      <c r="C649" s="49"/>
      <c r="D649" s="91"/>
      <c r="E649" s="92"/>
      <c r="F649" s="23"/>
      <c r="G649" s="23"/>
      <c r="H649" s="23"/>
      <c r="I649" s="23"/>
      <c r="J649" s="62"/>
      <c r="K649" s="6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 x14ac:dyDescent="0.2">
      <c r="A650" s="4"/>
      <c r="B650" s="4"/>
      <c r="C650" s="49"/>
      <c r="D650" s="91"/>
      <c r="E650" s="92"/>
      <c r="F650" s="23"/>
      <c r="G650" s="23"/>
      <c r="H650" s="23"/>
      <c r="I650" s="23"/>
      <c r="J650" s="62"/>
      <c r="K650" s="6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 x14ac:dyDescent="0.2">
      <c r="A651" s="4"/>
      <c r="B651" s="4"/>
      <c r="C651" s="49"/>
      <c r="D651" s="91"/>
      <c r="E651" s="92"/>
      <c r="F651" s="23"/>
      <c r="G651" s="23"/>
      <c r="H651" s="23"/>
      <c r="I651" s="23"/>
      <c r="J651" s="62"/>
      <c r="K651" s="6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 x14ac:dyDescent="0.2">
      <c r="A652" s="4"/>
      <c r="B652" s="4"/>
      <c r="C652" s="49"/>
      <c r="D652" s="91"/>
      <c r="E652" s="92"/>
      <c r="F652" s="23"/>
      <c r="G652" s="23"/>
      <c r="H652" s="23"/>
      <c r="I652" s="23"/>
      <c r="J652" s="62"/>
      <c r="K652" s="6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 x14ac:dyDescent="0.2">
      <c r="A653" s="4"/>
      <c r="B653" s="4"/>
      <c r="C653" s="49"/>
      <c r="D653" s="91"/>
      <c r="E653" s="92"/>
      <c r="F653" s="23"/>
      <c r="G653" s="23"/>
      <c r="H653" s="23"/>
      <c r="I653" s="23"/>
      <c r="J653" s="62"/>
      <c r="K653" s="6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 x14ac:dyDescent="0.2">
      <c r="A654" s="4"/>
      <c r="B654" s="4"/>
      <c r="C654" s="49"/>
      <c r="D654" s="91"/>
      <c r="E654" s="92"/>
      <c r="F654" s="23"/>
      <c r="G654" s="23"/>
      <c r="H654" s="23"/>
      <c r="I654" s="23"/>
      <c r="J654" s="62"/>
      <c r="K654" s="6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 x14ac:dyDescent="0.2">
      <c r="A655" s="4"/>
      <c r="B655" s="4"/>
      <c r="C655" s="49"/>
      <c r="D655" s="91"/>
      <c r="E655" s="92"/>
      <c r="F655" s="23"/>
      <c r="G655" s="23"/>
      <c r="H655" s="23"/>
      <c r="I655" s="23"/>
      <c r="J655" s="62"/>
      <c r="K655" s="6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 x14ac:dyDescent="0.2">
      <c r="A656" s="4"/>
      <c r="B656" s="4"/>
      <c r="C656" s="49"/>
      <c r="D656" s="91"/>
      <c r="E656" s="92"/>
      <c r="F656" s="23"/>
      <c r="G656" s="23"/>
      <c r="H656" s="23"/>
      <c r="I656" s="23"/>
      <c r="J656" s="62"/>
      <c r="K656" s="6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 x14ac:dyDescent="0.2">
      <c r="A657" s="4"/>
      <c r="B657" s="4"/>
      <c r="C657" s="49"/>
      <c r="D657" s="91"/>
      <c r="E657" s="92"/>
      <c r="F657" s="23"/>
      <c r="G657" s="23"/>
      <c r="H657" s="23"/>
      <c r="I657" s="23"/>
      <c r="J657" s="62"/>
      <c r="K657" s="6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 x14ac:dyDescent="0.2">
      <c r="A658" s="4"/>
      <c r="B658" s="4"/>
      <c r="C658" s="49"/>
      <c r="D658" s="91"/>
      <c r="E658" s="92"/>
      <c r="F658" s="23"/>
      <c r="G658" s="23"/>
      <c r="H658" s="23"/>
      <c r="I658" s="23"/>
      <c r="J658" s="62"/>
      <c r="K658" s="6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 x14ac:dyDescent="0.2">
      <c r="A659" s="4"/>
      <c r="B659" s="4"/>
      <c r="C659" s="49"/>
      <c r="D659" s="91"/>
      <c r="E659" s="92"/>
      <c r="F659" s="23"/>
      <c r="G659" s="23"/>
      <c r="H659" s="23"/>
      <c r="I659" s="23"/>
      <c r="J659" s="62"/>
      <c r="K659" s="6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 x14ac:dyDescent="0.2">
      <c r="A660" s="4"/>
      <c r="B660" s="4"/>
      <c r="C660" s="49"/>
      <c r="D660" s="91"/>
      <c r="E660" s="92"/>
      <c r="F660" s="23"/>
      <c r="G660" s="23"/>
      <c r="H660" s="23"/>
      <c r="I660" s="23"/>
      <c r="J660" s="62"/>
      <c r="K660" s="6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 x14ac:dyDescent="0.2">
      <c r="A661" s="4"/>
      <c r="B661" s="4"/>
      <c r="C661" s="49"/>
      <c r="D661" s="91"/>
      <c r="E661" s="92"/>
      <c r="F661" s="23"/>
      <c r="G661" s="23"/>
      <c r="H661" s="23"/>
      <c r="I661" s="23"/>
      <c r="J661" s="62"/>
      <c r="K661" s="6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 x14ac:dyDescent="0.2">
      <c r="A662" s="4"/>
      <c r="B662" s="4"/>
      <c r="C662" s="49"/>
      <c r="D662" s="91"/>
      <c r="E662" s="92"/>
      <c r="F662" s="23"/>
      <c r="G662" s="23"/>
      <c r="H662" s="23"/>
      <c r="I662" s="23"/>
      <c r="J662" s="62"/>
      <c r="K662" s="6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 x14ac:dyDescent="0.2">
      <c r="A663" s="4"/>
      <c r="B663" s="4"/>
      <c r="C663" s="49"/>
      <c r="D663" s="91"/>
      <c r="E663" s="92"/>
      <c r="F663" s="23"/>
      <c r="G663" s="23"/>
      <c r="H663" s="23"/>
      <c r="I663" s="23"/>
      <c r="J663" s="62"/>
      <c r="K663" s="6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 x14ac:dyDescent="0.2">
      <c r="A664" s="4"/>
      <c r="B664" s="4"/>
      <c r="C664" s="49"/>
      <c r="D664" s="91"/>
      <c r="E664" s="92"/>
      <c r="F664" s="23"/>
      <c r="G664" s="23"/>
      <c r="H664" s="23"/>
      <c r="I664" s="23"/>
      <c r="J664" s="62"/>
      <c r="K664" s="6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 x14ac:dyDescent="0.2">
      <c r="A665" s="4"/>
      <c r="B665" s="4"/>
      <c r="C665" s="49"/>
      <c r="D665" s="91"/>
      <c r="E665" s="92"/>
      <c r="F665" s="23"/>
      <c r="G665" s="23"/>
      <c r="H665" s="23"/>
      <c r="I665" s="23"/>
      <c r="J665" s="62"/>
      <c r="K665" s="6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 x14ac:dyDescent="0.2">
      <c r="A666" s="4"/>
      <c r="B666" s="4"/>
      <c r="C666" s="49"/>
      <c r="D666" s="91"/>
      <c r="E666" s="92"/>
      <c r="F666" s="23"/>
      <c r="G666" s="23"/>
      <c r="H666" s="23"/>
      <c r="I666" s="23"/>
      <c r="J666" s="62"/>
      <c r="K666" s="6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 x14ac:dyDescent="0.2">
      <c r="A667" s="4"/>
      <c r="B667" s="4"/>
      <c r="C667" s="49"/>
      <c r="D667" s="91"/>
      <c r="E667" s="92"/>
      <c r="F667" s="23"/>
      <c r="G667" s="23"/>
      <c r="H667" s="23"/>
      <c r="I667" s="23"/>
      <c r="J667" s="62"/>
      <c r="K667" s="6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 x14ac:dyDescent="0.2">
      <c r="A668" s="4"/>
      <c r="B668" s="4"/>
      <c r="C668" s="49"/>
      <c r="D668" s="91"/>
      <c r="E668" s="92"/>
      <c r="F668" s="23"/>
      <c r="G668" s="23"/>
      <c r="H668" s="23"/>
      <c r="I668" s="23"/>
      <c r="J668" s="62"/>
      <c r="K668" s="6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 x14ac:dyDescent="0.2">
      <c r="A669" s="4"/>
      <c r="B669" s="4"/>
      <c r="C669" s="49"/>
      <c r="D669" s="91"/>
      <c r="E669" s="92"/>
      <c r="F669" s="23"/>
      <c r="G669" s="23"/>
      <c r="H669" s="23"/>
      <c r="I669" s="23"/>
      <c r="J669" s="62"/>
      <c r="K669" s="6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 x14ac:dyDescent="0.2">
      <c r="A670" s="4"/>
      <c r="B670" s="4"/>
      <c r="C670" s="49"/>
      <c r="D670" s="91"/>
      <c r="E670" s="92"/>
      <c r="F670" s="23"/>
      <c r="G670" s="23"/>
      <c r="H670" s="23"/>
      <c r="I670" s="23"/>
      <c r="J670" s="62"/>
      <c r="K670" s="6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 x14ac:dyDescent="0.2">
      <c r="A671" s="4"/>
      <c r="B671" s="4"/>
      <c r="C671" s="49"/>
      <c r="D671" s="91"/>
      <c r="E671" s="92"/>
      <c r="F671" s="23"/>
      <c r="G671" s="23"/>
      <c r="H671" s="23"/>
      <c r="I671" s="23"/>
      <c r="J671" s="62"/>
      <c r="K671" s="62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 x14ac:dyDescent="0.2">
      <c r="A672" s="4"/>
      <c r="B672" s="4"/>
      <c r="C672" s="49"/>
      <c r="D672" s="91"/>
      <c r="E672" s="92"/>
      <c r="F672" s="23"/>
      <c r="G672" s="23"/>
      <c r="H672" s="23"/>
      <c r="I672" s="23"/>
      <c r="J672" s="62"/>
      <c r="K672" s="62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 x14ac:dyDescent="0.2">
      <c r="A673" s="4"/>
      <c r="B673" s="4"/>
      <c r="C673" s="49"/>
      <c r="D673" s="91"/>
      <c r="E673" s="92"/>
      <c r="F673" s="23"/>
      <c r="G673" s="23"/>
      <c r="H673" s="23"/>
      <c r="I673" s="23"/>
      <c r="J673" s="62"/>
      <c r="K673" s="62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2">
      <c r="A674" s="4"/>
      <c r="B674" s="4"/>
      <c r="C674" s="49"/>
      <c r="D674" s="91"/>
      <c r="E674" s="92"/>
      <c r="F674" s="23"/>
      <c r="G674" s="23"/>
      <c r="H674" s="23"/>
      <c r="I674" s="23"/>
      <c r="J674" s="62"/>
      <c r="K674" s="62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2">
      <c r="A675" s="4"/>
      <c r="B675" s="4"/>
      <c r="C675" s="49"/>
      <c r="D675" s="91"/>
      <c r="E675" s="92"/>
      <c r="F675" s="23"/>
      <c r="G675" s="23"/>
      <c r="H675" s="23"/>
      <c r="I675" s="23"/>
      <c r="J675" s="62"/>
      <c r="K675" s="62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2">
      <c r="A676" s="4"/>
      <c r="B676" s="4"/>
      <c r="C676" s="49"/>
      <c r="D676" s="91"/>
      <c r="E676" s="92"/>
      <c r="F676" s="23"/>
      <c r="G676" s="23"/>
      <c r="H676" s="23"/>
      <c r="I676" s="23"/>
      <c r="J676" s="62"/>
      <c r="K676" s="62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2">
      <c r="A677" s="4"/>
      <c r="B677" s="4"/>
      <c r="C677" s="49"/>
      <c r="D677" s="91"/>
      <c r="E677" s="92"/>
      <c r="F677" s="23"/>
      <c r="G677" s="23"/>
      <c r="H677" s="23"/>
      <c r="I677" s="23"/>
      <c r="J677" s="62"/>
      <c r="K677" s="62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2">
      <c r="A678" s="4"/>
      <c r="B678" s="4"/>
      <c r="C678" s="49"/>
      <c r="D678" s="91"/>
      <c r="E678" s="92"/>
      <c r="F678" s="23"/>
      <c r="G678" s="23"/>
      <c r="H678" s="23"/>
      <c r="I678" s="23"/>
      <c r="J678" s="62"/>
      <c r="K678" s="62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2">
      <c r="A679" s="4"/>
      <c r="B679" s="4"/>
      <c r="C679" s="49"/>
      <c r="D679" s="91"/>
      <c r="E679" s="92"/>
      <c r="F679" s="23"/>
      <c r="G679" s="23"/>
      <c r="H679" s="23"/>
      <c r="I679" s="23"/>
      <c r="J679" s="62"/>
      <c r="K679" s="62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2">
      <c r="A680" s="4"/>
      <c r="B680" s="4"/>
      <c r="C680" s="49"/>
      <c r="D680" s="91"/>
      <c r="E680" s="92"/>
      <c r="F680" s="23"/>
      <c r="G680" s="23"/>
      <c r="H680" s="23"/>
      <c r="I680" s="23"/>
      <c r="J680" s="62"/>
      <c r="K680" s="62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2">
      <c r="A681" s="4"/>
      <c r="B681" s="4"/>
      <c r="C681" s="49"/>
      <c r="D681" s="91"/>
      <c r="E681" s="92"/>
      <c r="F681" s="23"/>
      <c r="G681" s="23"/>
      <c r="H681" s="23"/>
      <c r="I681" s="23"/>
      <c r="J681" s="62"/>
      <c r="K681" s="62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2">
      <c r="A682" s="4"/>
      <c r="B682" s="4"/>
      <c r="C682" s="49"/>
      <c r="D682" s="91"/>
      <c r="E682" s="92"/>
      <c r="F682" s="23"/>
      <c r="G682" s="23"/>
      <c r="H682" s="23"/>
      <c r="I682" s="23"/>
      <c r="J682" s="62"/>
      <c r="K682" s="62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2">
      <c r="A683" s="4"/>
      <c r="B683" s="4"/>
      <c r="C683" s="49"/>
      <c r="D683" s="91"/>
      <c r="E683" s="92"/>
      <c r="F683" s="23"/>
      <c r="G683" s="23"/>
      <c r="H683" s="23"/>
      <c r="I683" s="23"/>
      <c r="J683" s="62"/>
      <c r="K683" s="62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2">
      <c r="A684" s="4"/>
      <c r="B684" s="4"/>
      <c r="C684" s="49"/>
      <c r="D684" s="91"/>
      <c r="E684" s="92"/>
      <c r="F684" s="23"/>
      <c r="G684" s="23"/>
      <c r="H684" s="23"/>
      <c r="I684" s="23"/>
      <c r="J684" s="62"/>
      <c r="K684" s="62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2">
      <c r="A685" s="4"/>
      <c r="B685" s="4"/>
      <c r="C685" s="49"/>
      <c r="D685" s="91"/>
      <c r="E685" s="92"/>
      <c r="F685" s="23"/>
      <c r="G685" s="23"/>
      <c r="H685" s="23"/>
      <c r="I685" s="23"/>
      <c r="J685" s="62"/>
      <c r="K685" s="62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2">
      <c r="A686" s="4"/>
      <c r="B686" s="4"/>
      <c r="C686" s="49"/>
      <c r="D686" s="91"/>
      <c r="E686" s="92"/>
      <c r="F686" s="23"/>
      <c r="G686" s="23"/>
      <c r="H686" s="23"/>
      <c r="I686" s="23"/>
      <c r="J686" s="62"/>
      <c r="K686" s="62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2">
      <c r="A687" s="4"/>
      <c r="B687" s="4"/>
      <c r="C687" s="49"/>
      <c r="D687" s="91"/>
      <c r="E687" s="92"/>
      <c r="F687" s="23"/>
      <c r="G687" s="23"/>
      <c r="H687" s="23"/>
      <c r="I687" s="23"/>
      <c r="J687" s="62"/>
      <c r="K687" s="62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2">
      <c r="A688" s="4"/>
      <c r="B688" s="4"/>
      <c r="C688" s="49"/>
      <c r="D688" s="91"/>
      <c r="E688" s="92"/>
      <c r="F688" s="23"/>
      <c r="G688" s="23"/>
      <c r="H688" s="23"/>
      <c r="I688" s="23"/>
      <c r="J688" s="62"/>
      <c r="K688" s="62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2">
      <c r="A689" s="4"/>
      <c r="B689" s="4"/>
      <c r="C689" s="49"/>
      <c r="D689" s="91"/>
      <c r="E689" s="92"/>
      <c r="F689" s="23"/>
      <c r="G689" s="23"/>
      <c r="H689" s="23"/>
      <c r="I689" s="23"/>
      <c r="J689" s="62"/>
      <c r="K689" s="62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2">
      <c r="A690" s="4"/>
      <c r="B690" s="4"/>
      <c r="C690" s="49"/>
      <c r="D690" s="91"/>
      <c r="E690" s="92"/>
      <c r="F690" s="23"/>
      <c r="G690" s="23"/>
      <c r="H690" s="23"/>
      <c r="I690" s="23"/>
      <c r="J690" s="62"/>
      <c r="K690" s="62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2">
      <c r="A691" s="4"/>
      <c r="B691" s="4"/>
      <c r="C691" s="49"/>
      <c r="D691" s="91"/>
      <c r="E691" s="92"/>
      <c r="F691" s="23"/>
      <c r="G691" s="23"/>
      <c r="H691" s="23"/>
      <c r="I691" s="23"/>
      <c r="J691" s="62"/>
      <c r="K691" s="62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2">
      <c r="A692" s="4"/>
      <c r="B692" s="4"/>
      <c r="C692" s="49"/>
      <c r="D692" s="91"/>
      <c r="E692" s="92"/>
      <c r="F692" s="23"/>
      <c r="G692" s="23"/>
      <c r="H692" s="23"/>
      <c r="I692" s="23"/>
      <c r="J692" s="62"/>
      <c r="K692" s="62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2">
      <c r="A693" s="4"/>
      <c r="B693" s="4"/>
      <c r="C693" s="49"/>
      <c r="D693" s="91"/>
      <c r="E693" s="92"/>
      <c r="F693" s="23"/>
      <c r="G693" s="23"/>
      <c r="H693" s="23"/>
      <c r="I693" s="23"/>
      <c r="J693" s="62"/>
      <c r="K693" s="62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2">
      <c r="A694" s="4"/>
      <c r="B694" s="4"/>
      <c r="C694" s="49"/>
      <c r="D694" s="91"/>
      <c r="E694" s="92"/>
      <c r="F694" s="23"/>
      <c r="G694" s="23"/>
      <c r="H694" s="23"/>
      <c r="I694" s="23"/>
      <c r="J694" s="62"/>
      <c r="K694" s="62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2">
      <c r="A695" s="4"/>
      <c r="B695" s="4"/>
      <c r="C695" s="49"/>
      <c r="D695" s="91"/>
      <c r="E695" s="92"/>
      <c r="F695" s="23"/>
      <c r="G695" s="23"/>
      <c r="H695" s="23"/>
      <c r="I695" s="23"/>
      <c r="J695" s="62"/>
      <c r="K695" s="62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2">
      <c r="A696" s="4"/>
      <c r="B696" s="4"/>
      <c r="C696" s="49"/>
      <c r="D696" s="91"/>
      <c r="E696" s="92"/>
      <c r="F696" s="23"/>
      <c r="G696" s="23"/>
      <c r="H696" s="23"/>
      <c r="I696" s="23"/>
      <c r="J696" s="62"/>
      <c r="K696" s="62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2">
      <c r="A697" s="4"/>
      <c r="B697" s="4"/>
      <c r="C697" s="49"/>
      <c r="D697" s="91"/>
      <c r="E697" s="92"/>
      <c r="F697" s="23"/>
      <c r="G697" s="23"/>
      <c r="H697" s="23"/>
      <c r="I697" s="23"/>
      <c r="J697" s="62"/>
      <c r="K697" s="62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2">
      <c r="A698" s="4"/>
      <c r="B698" s="4"/>
      <c r="C698" s="49"/>
      <c r="D698" s="91"/>
      <c r="E698" s="92"/>
      <c r="F698" s="23"/>
      <c r="G698" s="23"/>
      <c r="H698" s="23"/>
      <c r="I698" s="23"/>
      <c r="J698" s="62"/>
      <c r="K698" s="62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2">
      <c r="A699" s="4"/>
      <c r="B699" s="4"/>
      <c r="C699" s="49"/>
      <c r="D699" s="91"/>
      <c r="E699" s="92"/>
      <c r="F699" s="23"/>
      <c r="G699" s="23"/>
      <c r="H699" s="23"/>
      <c r="I699" s="23"/>
      <c r="J699" s="62"/>
      <c r="K699" s="62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2">
      <c r="A700" s="4"/>
      <c r="B700" s="4"/>
      <c r="C700" s="49"/>
      <c r="D700" s="91"/>
      <c r="E700" s="92"/>
      <c r="F700" s="23"/>
      <c r="G700" s="23"/>
      <c r="H700" s="23"/>
      <c r="I700" s="23"/>
      <c r="J700" s="62"/>
      <c r="K700" s="62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2">
      <c r="A701" s="4"/>
      <c r="B701" s="4"/>
      <c r="C701" s="49"/>
      <c r="D701" s="91"/>
      <c r="E701" s="92"/>
      <c r="F701" s="23"/>
      <c r="G701" s="23"/>
      <c r="H701" s="23"/>
      <c r="I701" s="23"/>
      <c r="J701" s="62"/>
      <c r="K701" s="62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2">
      <c r="A702" s="4"/>
      <c r="B702" s="4"/>
      <c r="C702" s="49"/>
      <c r="D702" s="91"/>
      <c r="E702" s="92"/>
      <c r="F702" s="23"/>
      <c r="G702" s="23"/>
      <c r="H702" s="23"/>
      <c r="I702" s="23"/>
      <c r="J702" s="62"/>
      <c r="K702" s="62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2">
      <c r="A703" s="4"/>
      <c r="B703" s="4"/>
      <c r="C703" s="49"/>
      <c r="D703" s="91"/>
      <c r="E703" s="92"/>
      <c r="F703" s="23"/>
      <c r="G703" s="23"/>
      <c r="H703" s="23"/>
      <c r="I703" s="23"/>
      <c r="J703" s="62"/>
      <c r="K703" s="62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2">
      <c r="A704" s="4"/>
      <c r="B704" s="4"/>
      <c r="C704" s="49"/>
      <c r="D704" s="91"/>
      <c r="E704" s="92"/>
      <c r="F704" s="23"/>
      <c r="G704" s="23"/>
      <c r="H704" s="23"/>
      <c r="I704" s="23"/>
      <c r="J704" s="62"/>
      <c r="K704" s="6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2">
      <c r="A705" s="4"/>
      <c r="B705" s="4"/>
      <c r="C705" s="49"/>
      <c r="D705" s="91"/>
      <c r="E705" s="92"/>
      <c r="F705" s="23"/>
      <c r="G705" s="23"/>
      <c r="H705" s="23"/>
      <c r="I705" s="23"/>
      <c r="J705" s="62"/>
      <c r="K705" s="62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2">
      <c r="A706" s="4"/>
      <c r="B706" s="4"/>
      <c r="C706" s="49"/>
      <c r="D706" s="91"/>
      <c r="E706" s="92"/>
      <c r="F706" s="23"/>
      <c r="G706" s="23"/>
      <c r="H706" s="23"/>
      <c r="I706" s="23"/>
      <c r="J706" s="62"/>
      <c r="K706" s="62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2">
      <c r="A707" s="4"/>
      <c r="B707" s="4"/>
      <c r="C707" s="49"/>
      <c r="D707" s="91"/>
      <c r="E707" s="92"/>
      <c r="F707" s="23"/>
      <c r="G707" s="23"/>
      <c r="H707" s="23"/>
      <c r="I707" s="23"/>
      <c r="J707" s="62"/>
      <c r="K707" s="62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2">
      <c r="A708" s="4"/>
      <c r="B708" s="4"/>
      <c r="C708" s="49"/>
      <c r="D708" s="91"/>
      <c r="E708" s="92"/>
      <c r="F708" s="23"/>
      <c r="G708" s="23"/>
      <c r="H708" s="23"/>
      <c r="I708" s="23"/>
      <c r="J708" s="62"/>
      <c r="K708" s="62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2">
      <c r="A709" s="4"/>
      <c r="B709" s="4"/>
      <c r="C709" s="49"/>
      <c r="D709" s="91"/>
      <c r="E709" s="92"/>
      <c r="F709" s="23"/>
      <c r="G709" s="23"/>
      <c r="H709" s="23"/>
      <c r="I709" s="23"/>
      <c r="J709" s="62"/>
      <c r="K709" s="62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2">
      <c r="A710" s="4"/>
      <c r="B710" s="4"/>
      <c r="C710" s="49"/>
      <c r="D710" s="91"/>
      <c r="E710" s="92"/>
      <c r="F710" s="23"/>
      <c r="G710" s="23"/>
      <c r="H710" s="23"/>
      <c r="I710" s="23"/>
      <c r="J710" s="62"/>
      <c r="K710" s="62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2">
      <c r="A711" s="4"/>
      <c r="B711" s="4"/>
      <c r="C711" s="49"/>
      <c r="D711" s="91"/>
      <c r="E711" s="92"/>
      <c r="F711" s="23"/>
      <c r="G711" s="23"/>
      <c r="H711" s="23"/>
      <c r="I711" s="23"/>
      <c r="J711" s="62"/>
      <c r="K711" s="62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2">
      <c r="A712" s="4"/>
      <c r="B712" s="4"/>
      <c r="C712" s="49"/>
      <c r="D712" s="91"/>
      <c r="E712" s="92"/>
      <c r="F712" s="23"/>
      <c r="G712" s="23"/>
      <c r="H712" s="23"/>
      <c r="I712" s="23"/>
      <c r="J712" s="62"/>
      <c r="K712" s="62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2">
      <c r="A713" s="4"/>
      <c r="B713" s="4"/>
      <c r="C713" s="49"/>
      <c r="D713" s="91"/>
      <c r="E713" s="92"/>
      <c r="F713" s="23"/>
      <c r="G713" s="23"/>
      <c r="H713" s="23"/>
      <c r="I713" s="23"/>
      <c r="J713" s="62"/>
      <c r="K713" s="62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2">
      <c r="A714" s="4"/>
      <c r="B714" s="4"/>
      <c r="C714" s="49"/>
      <c r="D714" s="91"/>
      <c r="E714" s="92"/>
      <c r="F714" s="23"/>
      <c r="G714" s="23"/>
      <c r="H714" s="23"/>
      <c r="I714" s="23"/>
      <c r="J714" s="62"/>
      <c r="K714" s="62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2">
      <c r="A715" s="4"/>
      <c r="B715" s="4"/>
      <c r="C715" s="49"/>
      <c r="D715" s="91"/>
      <c r="E715" s="92"/>
      <c r="F715" s="23"/>
      <c r="G715" s="23"/>
      <c r="H715" s="23"/>
      <c r="I715" s="23"/>
      <c r="J715" s="62"/>
      <c r="K715" s="62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2">
      <c r="A716" s="4"/>
      <c r="B716" s="4"/>
      <c r="C716" s="49"/>
      <c r="D716" s="91"/>
      <c r="E716" s="92"/>
      <c r="F716" s="23"/>
      <c r="G716" s="23"/>
      <c r="H716" s="23"/>
      <c r="I716" s="23"/>
      <c r="J716" s="62"/>
      <c r="K716" s="62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2">
      <c r="A717" s="4"/>
      <c r="B717" s="4"/>
      <c r="C717" s="49"/>
      <c r="D717" s="91"/>
      <c r="E717" s="92"/>
      <c r="F717" s="23"/>
      <c r="G717" s="23"/>
      <c r="H717" s="23"/>
      <c r="I717" s="23"/>
      <c r="J717" s="62"/>
      <c r="K717" s="62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2">
      <c r="A718" s="4"/>
      <c r="B718" s="4"/>
      <c r="C718" s="49"/>
      <c r="D718" s="91"/>
      <c r="E718" s="92"/>
      <c r="F718" s="23"/>
      <c r="G718" s="23"/>
      <c r="H718" s="23"/>
      <c r="I718" s="23"/>
      <c r="J718" s="62"/>
      <c r="K718" s="62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2">
      <c r="A719" s="4"/>
      <c r="B719" s="4"/>
      <c r="C719" s="49"/>
      <c r="D719" s="91"/>
      <c r="E719" s="92"/>
      <c r="F719" s="23"/>
      <c r="G719" s="23"/>
      <c r="H719" s="23"/>
      <c r="I719" s="23"/>
      <c r="J719" s="62"/>
      <c r="K719" s="62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2">
      <c r="A720" s="4"/>
      <c r="B720" s="4"/>
      <c r="C720" s="49"/>
      <c r="D720" s="91"/>
      <c r="E720" s="92"/>
      <c r="F720" s="23"/>
      <c r="G720" s="23"/>
      <c r="H720" s="23"/>
      <c r="I720" s="23"/>
      <c r="J720" s="62"/>
      <c r="K720" s="62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2">
      <c r="A721" s="4"/>
      <c r="B721" s="4"/>
      <c r="C721" s="49"/>
      <c r="D721" s="91"/>
      <c r="E721" s="92"/>
      <c r="F721" s="23"/>
      <c r="G721" s="23"/>
      <c r="H721" s="23"/>
      <c r="I721" s="23"/>
      <c r="J721" s="62"/>
      <c r="K721" s="62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2">
      <c r="A722" s="4"/>
      <c r="B722" s="4"/>
      <c r="C722" s="49"/>
      <c r="D722" s="91"/>
      <c r="E722" s="92"/>
      <c r="F722" s="23"/>
      <c r="G722" s="23"/>
      <c r="H722" s="23"/>
      <c r="I722" s="23"/>
      <c r="J722" s="62"/>
      <c r="K722" s="62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2">
      <c r="A723" s="4"/>
      <c r="B723" s="4"/>
      <c r="C723" s="49"/>
      <c r="D723" s="91"/>
      <c r="E723" s="92"/>
      <c r="F723" s="23"/>
      <c r="G723" s="23"/>
      <c r="H723" s="23"/>
      <c r="I723" s="23"/>
      <c r="J723" s="62"/>
      <c r="K723" s="62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2">
      <c r="A724" s="4"/>
      <c r="B724" s="4"/>
      <c r="C724" s="49"/>
      <c r="D724" s="91"/>
      <c r="E724" s="92"/>
      <c r="F724" s="23"/>
      <c r="G724" s="23"/>
      <c r="H724" s="23"/>
      <c r="I724" s="23"/>
      <c r="J724" s="62"/>
      <c r="K724" s="62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2">
      <c r="A725" s="4"/>
      <c r="B725" s="4"/>
      <c r="C725" s="49"/>
      <c r="D725" s="91"/>
      <c r="E725" s="92"/>
      <c r="F725" s="23"/>
      <c r="G725" s="23"/>
      <c r="H725" s="23"/>
      <c r="I725" s="23"/>
      <c r="J725" s="62"/>
      <c r="K725" s="62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2">
      <c r="A726" s="4"/>
      <c r="B726" s="4"/>
      <c r="C726" s="49"/>
      <c r="D726" s="91"/>
      <c r="E726" s="92"/>
      <c r="F726" s="23"/>
      <c r="G726" s="23"/>
      <c r="H726" s="23"/>
      <c r="I726" s="23"/>
      <c r="J726" s="62"/>
      <c r="K726" s="62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2">
      <c r="A727" s="4"/>
      <c r="B727" s="4"/>
      <c r="C727" s="49"/>
      <c r="D727" s="91"/>
      <c r="E727" s="92"/>
      <c r="F727" s="23"/>
      <c r="G727" s="23"/>
      <c r="H727" s="23"/>
      <c r="I727" s="23"/>
      <c r="J727" s="62"/>
      <c r="K727" s="62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2">
      <c r="A728" s="4"/>
      <c r="B728" s="4"/>
      <c r="C728" s="49"/>
      <c r="D728" s="91"/>
      <c r="E728" s="92"/>
      <c r="F728" s="23"/>
      <c r="G728" s="23"/>
      <c r="H728" s="23"/>
      <c r="I728" s="23"/>
      <c r="J728" s="62"/>
      <c r="K728" s="62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2">
      <c r="A729" s="4"/>
      <c r="B729" s="4"/>
      <c r="C729" s="49"/>
      <c r="D729" s="91"/>
      <c r="E729" s="92"/>
      <c r="F729" s="23"/>
      <c r="G729" s="23"/>
      <c r="H729" s="23"/>
      <c r="I729" s="23"/>
      <c r="J729" s="62"/>
      <c r="K729" s="62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2">
      <c r="A730" s="4"/>
      <c r="B730" s="4"/>
      <c r="C730" s="49"/>
      <c r="D730" s="91"/>
      <c r="E730" s="92"/>
      <c r="F730" s="23"/>
      <c r="G730" s="23"/>
      <c r="H730" s="23"/>
      <c r="I730" s="23"/>
      <c r="J730" s="62"/>
      <c r="K730" s="62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2">
      <c r="A731" s="4"/>
      <c r="B731" s="4"/>
      <c r="C731" s="49"/>
      <c r="D731" s="91"/>
      <c r="E731" s="92"/>
      <c r="F731" s="23"/>
      <c r="G731" s="23"/>
      <c r="H731" s="23"/>
      <c r="I731" s="23"/>
      <c r="J731" s="62"/>
      <c r="K731" s="62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2">
      <c r="A732" s="4"/>
      <c r="B732" s="4"/>
      <c r="C732" s="49"/>
      <c r="D732" s="91"/>
      <c r="E732" s="92"/>
      <c r="F732" s="23"/>
      <c r="G732" s="23"/>
      <c r="H732" s="23"/>
      <c r="I732" s="23"/>
      <c r="J732" s="62"/>
      <c r="K732" s="62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2">
      <c r="A733" s="4"/>
      <c r="B733" s="4"/>
      <c r="C733" s="49"/>
      <c r="D733" s="91"/>
      <c r="E733" s="92"/>
      <c r="F733" s="23"/>
      <c r="G733" s="23"/>
      <c r="H733" s="23"/>
      <c r="I733" s="23"/>
      <c r="J733" s="62"/>
      <c r="K733" s="62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2">
      <c r="A734" s="4"/>
      <c r="B734" s="4"/>
      <c r="C734" s="49"/>
      <c r="D734" s="91"/>
      <c r="E734" s="92"/>
      <c r="F734" s="23"/>
      <c r="G734" s="23"/>
      <c r="H734" s="23"/>
      <c r="I734" s="23"/>
      <c r="J734" s="62"/>
      <c r="K734" s="62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2">
      <c r="A735" s="4"/>
      <c r="B735" s="4"/>
      <c r="C735" s="49"/>
      <c r="D735" s="91"/>
      <c r="E735" s="92"/>
      <c r="F735" s="23"/>
      <c r="G735" s="23"/>
      <c r="H735" s="23"/>
      <c r="I735" s="23"/>
      <c r="J735" s="62"/>
      <c r="K735" s="62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2">
      <c r="A736" s="4"/>
      <c r="B736" s="4"/>
      <c r="C736" s="49"/>
      <c r="D736" s="91"/>
      <c r="E736" s="92"/>
      <c r="F736" s="23"/>
      <c r="G736" s="23"/>
      <c r="H736" s="23"/>
      <c r="I736" s="23"/>
      <c r="J736" s="62"/>
      <c r="K736" s="62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2">
      <c r="A737" s="4"/>
      <c r="B737" s="4"/>
      <c r="C737" s="49"/>
      <c r="D737" s="91"/>
      <c r="E737" s="92"/>
      <c r="F737" s="23"/>
      <c r="G737" s="23"/>
      <c r="H737" s="23"/>
      <c r="I737" s="23"/>
      <c r="J737" s="62"/>
      <c r="K737" s="62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2">
      <c r="A738" s="4"/>
      <c r="B738" s="4"/>
      <c r="C738" s="49"/>
      <c r="D738" s="91"/>
      <c r="E738" s="92"/>
      <c r="F738" s="23"/>
      <c r="G738" s="23"/>
      <c r="H738" s="23"/>
      <c r="I738" s="23"/>
      <c r="J738" s="62"/>
      <c r="K738" s="62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2">
      <c r="A739" s="4"/>
      <c r="B739" s="4"/>
      <c r="C739" s="49"/>
      <c r="D739" s="91"/>
      <c r="E739" s="92"/>
      <c r="F739" s="23"/>
      <c r="G739" s="23"/>
      <c r="H739" s="23"/>
      <c r="I739" s="23"/>
      <c r="J739" s="62"/>
      <c r="K739" s="62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2">
      <c r="A740" s="4"/>
      <c r="B740" s="4"/>
      <c r="C740" s="49"/>
      <c r="D740" s="91"/>
      <c r="E740" s="92"/>
      <c r="F740" s="23"/>
      <c r="G740" s="23"/>
      <c r="H740" s="23"/>
      <c r="I740" s="23"/>
      <c r="J740" s="62"/>
      <c r="K740" s="62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2">
      <c r="A741" s="4"/>
      <c r="B741" s="4"/>
      <c r="C741" s="49"/>
      <c r="D741" s="91"/>
      <c r="E741" s="92"/>
      <c r="F741" s="23"/>
      <c r="G741" s="23"/>
      <c r="H741" s="23"/>
      <c r="I741" s="23"/>
      <c r="J741" s="62"/>
      <c r="K741" s="62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2">
      <c r="A742" s="4"/>
      <c r="B742" s="4"/>
      <c r="C742" s="49"/>
      <c r="D742" s="91"/>
      <c r="E742" s="92"/>
      <c r="F742" s="23"/>
      <c r="G742" s="23"/>
      <c r="H742" s="23"/>
      <c r="I742" s="23"/>
      <c r="J742" s="62"/>
      <c r="K742" s="62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2">
      <c r="A743" s="4"/>
      <c r="B743" s="4"/>
      <c r="C743" s="49"/>
      <c r="D743" s="91"/>
      <c r="E743" s="92"/>
      <c r="F743" s="23"/>
      <c r="G743" s="23"/>
      <c r="H743" s="23"/>
      <c r="I743" s="23"/>
      <c r="J743" s="62"/>
      <c r="K743" s="62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2">
      <c r="A744" s="4"/>
      <c r="B744" s="4"/>
      <c r="C744" s="49"/>
      <c r="D744" s="91"/>
      <c r="E744" s="92"/>
      <c r="F744" s="23"/>
      <c r="G744" s="23"/>
      <c r="H744" s="23"/>
      <c r="I744" s="23"/>
      <c r="J744" s="62"/>
      <c r="K744" s="62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2">
      <c r="A745" s="4"/>
      <c r="B745" s="4"/>
      <c r="C745" s="49"/>
      <c r="D745" s="91"/>
      <c r="E745" s="92"/>
      <c r="F745" s="23"/>
      <c r="G745" s="23"/>
      <c r="H745" s="23"/>
      <c r="I745" s="23"/>
      <c r="J745" s="62"/>
      <c r="K745" s="62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2">
      <c r="A746" s="4"/>
      <c r="B746" s="4"/>
      <c r="C746" s="49"/>
      <c r="D746" s="91"/>
      <c r="E746" s="92"/>
      <c r="F746" s="23"/>
      <c r="G746" s="23"/>
      <c r="H746" s="23"/>
      <c r="I746" s="23"/>
      <c r="J746" s="62"/>
      <c r="K746" s="6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2">
      <c r="A747" s="4"/>
      <c r="B747" s="4"/>
      <c r="C747" s="49"/>
      <c r="D747" s="91"/>
      <c r="E747" s="92"/>
      <c r="F747" s="23"/>
      <c r="G747" s="23"/>
      <c r="H747" s="23"/>
      <c r="I747" s="23"/>
      <c r="J747" s="62"/>
      <c r="K747" s="6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2">
      <c r="A748" s="4"/>
      <c r="B748" s="4"/>
      <c r="C748" s="49"/>
      <c r="D748" s="91"/>
      <c r="E748" s="92"/>
      <c r="F748" s="23"/>
      <c r="G748" s="23"/>
      <c r="H748" s="23"/>
      <c r="I748" s="23"/>
      <c r="J748" s="62"/>
      <c r="K748" s="62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2">
      <c r="A749" s="4"/>
      <c r="B749" s="4"/>
      <c r="C749" s="49"/>
      <c r="D749" s="91"/>
      <c r="E749" s="92"/>
      <c r="F749" s="23"/>
      <c r="G749" s="23"/>
      <c r="H749" s="23"/>
      <c r="I749" s="23"/>
      <c r="J749" s="62"/>
      <c r="K749" s="62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2">
      <c r="A750" s="4"/>
      <c r="B750" s="4"/>
      <c r="C750" s="49"/>
      <c r="D750" s="91"/>
      <c r="E750" s="92"/>
      <c r="F750" s="23"/>
      <c r="G750" s="23"/>
      <c r="H750" s="23"/>
      <c r="I750" s="23"/>
      <c r="J750" s="62"/>
      <c r="K750" s="6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2">
      <c r="A751" s="4"/>
      <c r="B751" s="4"/>
      <c r="C751" s="49"/>
      <c r="D751" s="91"/>
      <c r="E751" s="92"/>
      <c r="F751" s="23"/>
      <c r="G751" s="23"/>
      <c r="H751" s="23"/>
      <c r="I751" s="23"/>
      <c r="J751" s="62"/>
      <c r="K751" s="6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 x14ac:dyDescent="0.2">
      <c r="A752" s="4"/>
      <c r="B752" s="4"/>
      <c r="C752" s="49"/>
      <c r="D752" s="91"/>
      <c r="E752" s="92"/>
      <c r="F752" s="23"/>
      <c r="G752" s="23"/>
      <c r="H752" s="23"/>
      <c r="I752" s="23"/>
      <c r="J752" s="62"/>
      <c r="K752" s="62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 x14ac:dyDescent="0.2">
      <c r="A753" s="4"/>
      <c r="B753" s="4"/>
      <c r="C753" s="49"/>
      <c r="D753" s="91"/>
      <c r="E753" s="92"/>
      <c r="F753" s="23"/>
      <c r="G753" s="23"/>
      <c r="H753" s="23"/>
      <c r="I753" s="23"/>
      <c r="J753" s="62"/>
      <c r="K753" s="62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 x14ac:dyDescent="0.2">
      <c r="A754" s="4"/>
      <c r="B754" s="4"/>
      <c r="C754" s="49"/>
      <c r="D754" s="91"/>
      <c r="E754" s="92"/>
      <c r="F754" s="23"/>
      <c r="G754" s="23"/>
      <c r="H754" s="23"/>
      <c r="I754" s="23"/>
      <c r="J754" s="62"/>
      <c r="K754" s="6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 x14ac:dyDescent="0.2">
      <c r="A755" s="4"/>
      <c r="B755" s="4"/>
      <c r="C755" s="49"/>
      <c r="D755" s="91"/>
      <c r="E755" s="92"/>
      <c r="F755" s="23"/>
      <c r="G755" s="23"/>
      <c r="H755" s="23"/>
      <c r="I755" s="23"/>
      <c r="J755" s="62"/>
      <c r="K755" s="6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 x14ac:dyDescent="0.2">
      <c r="A756" s="4"/>
      <c r="B756" s="4"/>
      <c r="C756" s="49"/>
      <c r="D756" s="91"/>
      <c r="E756" s="92"/>
      <c r="F756" s="23"/>
      <c r="G756" s="23"/>
      <c r="H756" s="23"/>
      <c r="I756" s="23"/>
      <c r="J756" s="62"/>
      <c r="K756" s="62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 x14ac:dyDescent="0.2">
      <c r="A757" s="4"/>
      <c r="B757" s="4"/>
      <c r="C757" s="49"/>
      <c r="D757" s="91"/>
      <c r="E757" s="92"/>
      <c r="F757" s="23"/>
      <c r="G757" s="23"/>
      <c r="H757" s="23"/>
      <c r="I757" s="23"/>
      <c r="J757" s="62"/>
      <c r="K757" s="62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 x14ac:dyDescent="0.2">
      <c r="A758" s="4"/>
      <c r="B758" s="4"/>
      <c r="C758" s="49"/>
      <c r="D758" s="91"/>
      <c r="E758" s="92"/>
      <c r="F758" s="23"/>
      <c r="G758" s="23"/>
      <c r="H758" s="23"/>
      <c r="I758" s="23"/>
      <c r="J758" s="62"/>
      <c r="K758" s="6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 x14ac:dyDescent="0.2">
      <c r="A759" s="4"/>
      <c r="B759" s="4"/>
      <c r="C759" s="49"/>
      <c r="D759" s="91"/>
      <c r="E759" s="92"/>
      <c r="F759" s="23"/>
      <c r="G759" s="23"/>
      <c r="H759" s="23"/>
      <c r="I759" s="23"/>
      <c r="J759" s="62"/>
      <c r="K759" s="6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 x14ac:dyDescent="0.2">
      <c r="A760" s="4"/>
      <c r="B760" s="4"/>
      <c r="C760" s="49"/>
      <c r="D760" s="91"/>
      <c r="E760" s="92"/>
      <c r="F760" s="23"/>
      <c r="G760" s="23"/>
      <c r="H760" s="23"/>
      <c r="I760" s="23"/>
      <c r="J760" s="62"/>
      <c r="K760" s="62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 x14ac:dyDescent="0.2">
      <c r="A761" s="4"/>
      <c r="B761" s="4"/>
      <c r="C761" s="49"/>
      <c r="D761" s="91"/>
      <c r="E761" s="92"/>
      <c r="F761" s="23"/>
      <c r="G761" s="23"/>
      <c r="H761" s="23"/>
      <c r="I761" s="23"/>
      <c r="J761" s="62"/>
      <c r="K761" s="62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 x14ac:dyDescent="0.2">
      <c r="A762" s="4"/>
      <c r="B762" s="4"/>
      <c r="C762" s="49"/>
      <c r="D762" s="91"/>
      <c r="E762" s="92"/>
      <c r="F762" s="23"/>
      <c r="G762" s="23"/>
      <c r="H762" s="23"/>
      <c r="I762" s="23"/>
      <c r="J762" s="62"/>
      <c r="K762" s="62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 x14ac:dyDescent="0.2">
      <c r="A763" s="4"/>
      <c r="B763" s="4"/>
      <c r="C763" s="49"/>
      <c r="D763" s="91"/>
      <c r="E763" s="92"/>
      <c r="F763" s="23"/>
      <c r="G763" s="23"/>
      <c r="H763" s="23"/>
      <c r="I763" s="23"/>
      <c r="J763" s="62"/>
      <c r="K763" s="62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 x14ac:dyDescent="0.2">
      <c r="A764" s="4"/>
      <c r="B764" s="4"/>
      <c r="C764" s="49"/>
      <c r="D764" s="91"/>
      <c r="E764" s="92"/>
      <c r="F764" s="23"/>
      <c r="G764" s="23"/>
      <c r="H764" s="23"/>
      <c r="I764" s="23"/>
      <c r="J764" s="62"/>
      <c r="K764" s="62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 x14ac:dyDescent="0.2">
      <c r="A765" s="4"/>
      <c r="B765" s="4"/>
      <c r="C765" s="49"/>
      <c r="D765" s="91"/>
      <c r="E765" s="92"/>
      <c r="F765" s="23"/>
      <c r="G765" s="23"/>
      <c r="H765" s="23"/>
      <c r="I765" s="23"/>
      <c r="J765" s="62"/>
      <c r="K765" s="62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 x14ac:dyDescent="0.2">
      <c r="A766" s="4"/>
      <c r="B766" s="4"/>
      <c r="C766" s="49"/>
      <c r="D766" s="91"/>
      <c r="E766" s="92"/>
      <c r="F766" s="23"/>
      <c r="G766" s="23"/>
      <c r="H766" s="23"/>
      <c r="I766" s="23"/>
      <c r="J766" s="62"/>
      <c r="K766" s="62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 x14ac:dyDescent="0.2">
      <c r="A767" s="4"/>
      <c r="B767" s="4"/>
      <c r="C767" s="49"/>
      <c r="D767" s="91"/>
      <c r="E767" s="92"/>
      <c r="F767" s="23"/>
      <c r="G767" s="23"/>
      <c r="H767" s="23"/>
      <c r="I767" s="23"/>
      <c r="J767" s="62"/>
      <c r="K767" s="62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 x14ac:dyDescent="0.2">
      <c r="A768" s="4"/>
      <c r="B768" s="4"/>
      <c r="C768" s="49"/>
      <c r="D768" s="91"/>
      <c r="E768" s="92"/>
      <c r="F768" s="23"/>
      <c r="G768" s="23"/>
      <c r="H768" s="23"/>
      <c r="I768" s="23"/>
      <c r="J768" s="62"/>
      <c r="K768" s="62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 x14ac:dyDescent="0.2">
      <c r="A769" s="4"/>
      <c r="B769" s="4"/>
      <c r="C769" s="49"/>
      <c r="D769" s="91"/>
      <c r="E769" s="92"/>
      <c r="F769" s="23"/>
      <c r="G769" s="23"/>
      <c r="H769" s="23"/>
      <c r="I769" s="23"/>
      <c r="J769" s="62"/>
      <c r="K769" s="62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 x14ac:dyDescent="0.2">
      <c r="A770" s="4"/>
      <c r="B770" s="4"/>
      <c r="C770" s="49"/>
      <c r="D770" s="91"/>
      <c r="E770" s="92"/>
      <c r="F770" s="23"/>
      <c r="G770" s="23"/>
      <c r="H770" s="23"/>
      <c r="I770" s="23"/>
      <c r="J770" s="62"/>
      <c r="K770" s="62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 x14ac:dyDescent="0.2">
      <c r="A771" s="4"/>
      <c r="B771" s="4"/>
      <c r="C771" s="49"/>
      <c r="D771" s="91"/>
      <c r="E771" s="92"/>
      <c r="F771" s="23"/>
      <c r="G771" s="23"/>
      <c r="H771" s="23"/>
      <c r="I771" s="23"/>
      <c r="J771" s="62"/>
      <c r="K771" s="6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 x14ac:dyDescent="0.2">
      <c r="A772" s="4"/>
      <c r="B772" s="4"/>
      <c r="C772" s="49"/>
      <c r="D772" s="91"/>
      <c r="E772" s="92"/>
      <c r="F772" s="23"/>
      <c r="G772" s="23"/>
      <c r="H772" s="23"/>
      <c r="I772" s="23"/>
      <c r="J772" s="62"/>
      <c r="K772" s="6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 x14ac:dyDescent="0.2">
      <c r="A773" s="4"/>
      <c r="B773" s="4"/>
      <c r="C773" s="49"/>
      <c r="D773" s="91"/>
      <c r="E773" s="92"/>
      <c r="F773" s="23"/>
      <c r="G773" s="23"/>
      <c r="H773" s="23"/>
      <c r="I773" s="23"/>
      <c r="J773" s="62"/>
      <c r="K773" s="62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 x14ac:dyDescent="0.2">
      <c r="A774" s="4"/>
      <c r="B774" s="4"/>
      <c r="C774" s="49"/>
      <c r="D774" s="91"/>
      <c r="E774" s="92"/>
      <c r="F774" s="23"/>
      <c r="G774" s="23"/>
      <c r="H774" s="23"/>
      <c r="I774" s="23"/>
      <c r="J774" s="62"/>
      <c r="K774" s="62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 x14ac:dyDescent="0.2">
      <c r="A775" s="4"/>
      <c r="B775" s="4"/>
      <c r="C775" s="49"/>
      <c r="D775" s="91"/>
      <c r="E775" s="92"/>
      <c r="F775" s="23"/>
      <c r="G775" s="23"/>
      <c r="H775" s="23"/>
      <c r="I775" s="23"/>
      <c r="J775" s="62"/>
      <c r="K775" s="6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 x14ac:dyDescent="0.2">
      <c r="A776" s="4"/>
      <c r="B776" s="4"/>
      <c r="C776" s="49"/>
      <c r="D776" s="91"/>
      <c r="E776" s="92"/>
      <c r="F776" s="23"/>
      <c r="G776" s="23"/>
      <c r="H776" s="23"/>
      <c r="I776" s="23"/>
      <c r="J776" s="62"/>
      <c r="K776" s="6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 x14ac:dyDescent="0.2">
      <c r="A777" s="4"/>
      <c r="B777" s="4"/>
      <c r="C777" s="49"/>
      <c r="D777" s="91"/>
      <c r="E777" s="92"/>
      <c r="F777" s="23"/>
      <c r="G777" s="23"/>
      <c r="H777" s="23"/>
      <c r="I777" s="23"/>
      <c r="J777" s="62"/>
      <c r="K777" s="62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 x14ac:dyDescent="0.2">
      <c r="A778" s="4"/>
      <c r="B778" s="4"/>
      <c r="C778" s="49"/>
      <c r="D778" s="91"/>
      <c r="E778" s="92"/>
      <c r="F778" s="23"/>
      <c r="G778" s="23"/>
      <c r="H778" s="23"/>
      <c r="I778" s="23"/>
      <c r="J778" s="62"/>
      <c r="K778" s="62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 x14ac:dyDescent="0.2">
      <c r="A779" s="4"/>
      <c r="B779" s="4"/>
      <c r="C779" s="49"/>
      <c r="D779" s="91"/>
      <c r="E779" s="92"/>
      <c r="F779" s="23"/>
      <c r="G779" s="23"/>
      <c r="H779" s="23"/>
      <c r="I779" s="23"/>
      <c r="J779" s="62"/>
      <c r="K779" s="62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 x14ac:dyDescent="0.2">
      <c r="A780" s="4"/>
      <c r="B780" s="4"/>
      <c r="C780" s="49"/>
      <c r="D780" s="91"/>
      <c r="E780" s="92"/>
      <c r="F780" s="23"/>
      <c r="G780" s="23"/>
      <c r="H780" s="23"/>
      <c r="I780" s="23"/>
      <c r="J780" s="62"/>
      <c r="K780" s="62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 x14ac:dyDescent="0.2">
      <c r="A781" s="4"/>
      <c r="B781" s="4"/>
      <c r="C781" s="49"/>
      <c r="D781" s="91"/>
      <c r="E781" s="92"/>
      <c r="F781" s="23"/>
      <c r="G781" s="23"/>
      <c r="H781" s="23"/>
      <c r="I781" s="23"/>
      <c r="J781" s="62"/>
      <c r="K781" s="62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 x14ac:dyDescent="0.2">
      <c r="A782" s="4"/>
      <c r="B782" s="4"/>
      <c r="C782" s="49"/>
      <c r="D782" s="91"/>
      <c r="E782" s="92"/>
      <c r="F782" s="23"/>
      <c r="G782" s="23"/>
      <c r="H782" s="23"/>
      <c r="I782" s="23"/>
      <c r="J782" s="62"/>
      <c r="K782" s="62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 x14ac:dyDescent="0.2">
      <c r="A783" s="4"/>
      <c r="B783" s="4"/>
      <c r="C783" s="49"/>
      <c r="D783" s="91"/>
      <c r="E783" s="92"/>
      <c r="F783" s="23"/>
      <c r="G783" s="23"/>
      <c r="H783" s="23"/>
      <c r="I783" s="23"/>
      <c r="J783" s="62"/>
      <c r="K783" s="62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 x14ac:dyDescent="0.2">
      <c r="A784" s="4"/>
      <c r="B784" s="4"/>
      <c r="C784" s="49"/>
      <c r="D784" s="91"/>
      <c r="E784" s="92"/>
      <c r="F784" s="23"/>
      <c r="G784" s="23"/>
      <c r="H784" s="23"/>
      <c r="I784" s="23"/>
      <c r="J784" s="62"/>
      <c r="K784" s="62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 x14ac:dyDescent="0.2">
      <c r="A785" s="4"/>
      <c r="B785" s="4"/>
      <c r="C785" s="49"/>
      <c r="D785" s="91"/>
      <c r="E785" s="92"/>
      <c r="F785" s="23"/>
      <c r="G785" s="23"/>
      <c r="H785" s="23"/>
      <c r="I785" s="23"/>
      <c r="J785" s="62"/>
      <c r="K785" s="62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 x14ac:dyDescent="0.2">
      <c r="A786" s="4"/>
      <c r="B786" s="4"/>
      <c r="C786" s="49"/>
      <c r="D786" s="91"/>
      <c r="E786" s="92"/>
      <c r="F786" s="23"/>
      <c r="G786" s="23"/>
      <c r="H786" s="23"/>
      <c r="I786" s="23"/>
      <c r="J786" s="62"/>
      <c r="K786" s="62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 x14ac:dyDescent="0.2">
      <c r="A787" s="4"/>
      <c r="B787" s="4"/>
      <c r="C787" s="49"/>
      <c r="D787" s="91"/>
      <c r="E787" s="92"/>
      <c r="F787" s="23"/>
      <c r="G787" s="23"/>
      <c r="H787" s="23"/>
      <c r="I787" s="23"/>
      <c r="J787" s="62"/>
      <c r="K787" s="62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 x14ac:dyDescent="0.2">
      <c r="A788" s="4"/>
      <c r="B788" s="4"/>
      <c r="C788" s="49"/>
      <c r="D788" s="91"/>
      <c r="E788" s="92"/>
      <c r="F788" s="23"/>
      <c r="G788" s="23"/>
      <c r="H788" s="23"/>
      <c r="I788" s="23"/>
      <c r="J788" s="62"/>
      <c r="K788" s="62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 x14ac:dyDescent="0.2">
      <c r="A789" s="4"/>
      <c r="B789" s="4"/>
      <c r="C789" s="49"/>
      <c r="D789" s="91"/>
      <c r="E789" s="92"/>
      <c r="F789" s="23"/>
      <c r="G789" s="23"/>
      <c r="H789" s="23"/>
      <c r="I789" s="23"/>
      <c r="J789" s="62"/>
      <c r="K789" s="62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 x14ac:dyDescent="0.2">
      <c r="A790" s="4"/>
      <c r="B790" s="4"/>
      <c r="C790" s="49"/>
      <c r="D790" s="91"/>
      <c r="E790" s="92"/>
      <c r="F790" s="23"/>
      <c r="G790" s="23"/>
      <c r="H790" s="23"/>
      <c r="I790" s="23"/>
      <c r="J790" s="62"/>
      <c r="K790" s="62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 x14ac:dyDescent="0.2">
      <c r="A791" s="4"/>
      <c r="B791" s="4"/>
      <c r="C791" s="49"/>
      <c r="D791" s="91"/>
      <c r="E791" s="92"/>
      <c r="F791" s="23"/>
      <c r="G791" s="23"/>
      <c r="H791" s="23"/>
      <c r="I791" s="23"/>
      <c r="J791" s="62"/>
      <c r="K791" s="62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 x14ac:dyDescent="0.2">
      <c r="A792" s="4"/>
      <c r="B792" s="4"/>
      <c r="C792" s="49"/>
      <c r="D792" s="91"/>
      <c r="E792" s="92"/>
      <c r="F792" s="23"/>
      <c r="G792" s="23"/>
      <c r="H792" s="23"/>
      <c r="I792" s="23"/>
      <c r="J792" s="62"/>
      <c r="K792" s="62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 x14ac:dyDescent="0.2">
      <c r="A793" s="4"/>
      <c r="B793" s="4"/>
      <c r="C793" s="49"/>
      <c r="D793" s="91"/>
      <c r="E793" s="92"/>
      <c r="F793" s="23"/>
      <c r="G793" s="23"/>
      <c r="H793" s="23"/>
      <c r="I793" s="23"/>
      <c r="J793" s="62"/>
      <c r="K793" s="62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 x14ac:dyDescent="0.2">
      <c r="A794" s="4"/>
      <c r="B794" s="4"/>
      <c r="C794" s="49"/>
      <c r="D794" s="91"/>
      <c r="E794" s="92"/>
      <c r="F794" s="23"/>
      <c r="G794" s="23"/>
      <c r="H794" s="23"/>
      <c r="I794" s="23"/>
      <c r="J794" s="62"/>
      <c r="K794" s="62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 x14ac:dyDescent="0.2">
      <c r="A795" s="4"/>
      <c r="B795" s="4"/>
      <c r="C795" s="49"/>
      <c r="D795" s="91"/>
      <c r="E795" s="92"/>
      <c r="F795" s="23"/>
      <c r="G795" s="23"/>
      <c r="H795" s="23"/>
      <c r="I795" s="23"/>
      <c r="J795" s="62"/>
      <c r="K795" s="62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 x14ac:dyDescent="0.2">
      <c r="A796" s="4"/>
      <c r="B796" s="4"/>
      <c r="C796" s="49"/>
      <c r="D796" s="91"/>
      <c r="E796" s="92"/>
      <c r="F796" s="23"/>
      <c r="G796" s="23"/>
      <c r="H796" s="23"/>
      <c r="I796" s="23"/>
      <c r="J796" s="62"/>
      <c r="K796" s="62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 x14ac:dyDescent="0.2">
      <c r="A797" s="4"/>
      <c r="B797" s="4"/>
      <c r="C797" s="49"/>
      <c r="D797" s="91"/>
      <c r="E797" s="92"/>
      <c r="F797" s="23"/>
      <c r="G797" s="23"/>
      <c r="H797" s="23"/>
      <c r="I797" s="23"/>
      <c r="J797" s="62"/>
      <c r="K797" s="62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 x14ac:dyDescent="0.2">
      <c r="A798" s="4"/>
      <c r="B798" s="4"/>
      <c r="C798" s="49"/>
      <c r="D798" s="91"/>
      <c r="E798" s="92"/>
      <c r="F798" s="23"/>
      <c r="G798" s="23"/>
      <c r="H798" s="23"/>
      <c r="I798" s="23"/>
      <c r="J798" s="62"/>
      <c r="K798" s="62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 x14ac:dyDescent="0.2">
      <c r="A799" s="4"/>
      <c r="B799" s="4"/>
      <c r="C799" s="49"/>
      <c r="D799" s="91"/>
      <c r="E799" s="92"/>
      <c r="F799" s="23"/>
      <c r="G799" s="23"/>
      <c r="H799" s="23"/>
      <c r="I799" s="23"/>
      <c r="J799" s="62"/>
      <c r="K799" s="62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 x14ac:dyDescent="0.2">
      <c r="A800" s="4"/>
      <c r="B800" s="4"/>
      <c r="C800" s="49"/>
      <c r="D800" s="91"/>
      <c r="E800" s="92"/>
      <c r="F800" s="23"/>
      <c r="G800" s="23"/>
      <c r="H800" s="23"/>
      <c r="I800" s="23"/>
      <c r="J800" s="62"/>
      <c r="K800" s="62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 x14ac:dyDescent="0.2">
      <c r="A801" s="4"/>
      <c r="B801" s="4"/>
      <c r="C801" s="49"/>
      <c r="D801" s="91"/>
      <c r="E801" s="92"/>
      <c r="F801" s="23"/>
      <c r="G801" s="23"/>
      <c r="H801" s="23"/>
      <c r="I801" s="23"/>
      <c r="J801" s="62"/>
      <c r="K801" s="62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 x14ac:dyDescent="0.2">
      <c r="A802" s="4"/>
      <c r="B802" s="4"/>
      <c r="C802" s="49"/>
      <c r="D802" s="91"/>
      <c r="E802" s="92"/>
      <c r="F802" s="23"/>
      <c r="G802" s="23"/>
      <c r="H802" s="23"/>
      <c r="I802" s="23"/>
      <c r="J802" s="62"/>
      <c r="K802" s="62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 x14ac:dyDescent="0.2">
      <c r="A803" s="4"/>
      <c r="B803" s="4"/>
      <c r="C803" s="49"/>
      <c r="D803" s="91"/>
      <c r="E803" s="92"/>
      <c r="F803" s="23"/>
      <c r="G803" s="23"/>
      <c r="H803" s="23"/>
      <c r="I803" s="23"/>
      <c r="J803" s="62"/>
      <c r="K803" s="62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 x14ac:dyDescent="0.2">
      <c r="A804" s="4"/>
      <c r="B804" s="4"/>
      <c r="C804" s="49"/>
      <c r="D804" s="91"/>
      <c r="E804" s="92"/>
      <c r="F804" s="23"/>
      <c r="G804" s="23"/>
      <c r="H804" s="23"/>
      <c r="I804" s="23"/>
      <c r="J804" s="62"/>
      <c r="K804" s="62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 x14ac:dyDescent="0.2">
      <c r="A805" s="4"/>
      <c r="B805" s="4"/>
      <c r="C805" s="49"/>
      <c r="D805" s="91"/>
      <c r="E805" s="92"/>
      <c r="F805" s="23"/>
      <c r="G805" s="23"/>
      <c r="H805" s="23"/>
      <c r="I805" s="23"/>
      <c r="J805" s="62"/>
      <c r="K805" s="62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 x14ac:dyDescent="0.2">
      <c r="A806" s="4"/>
      <c r="B806" s="4"/>
      <c r="C806" s="49"/>
      <c r="D806" s="91"/>
      <c r="E806" s="92"/>
      <c r="F806" s="23"/>
      <c r="G806" s="23"/>
      <c r="H806" s="23"/>
      <c r="I806" s="23"/>
      <c r="J806" s="62"/>
      <c r="K806" s="62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 x14ac:dyDescent="0.2">
      <c r="A807" s="4"/>
      <c r="B807" s="4"/>
      <c r="C807" s="49"/>
      <c r="D807" s="91"/>
      <c r="E807" s="92"/>
      <c r="F807" s="23"/>
      <c r="G807" s="23"/>
      <c r="H807" s="23"/>
      <c r="I807" s="23"/>
      <c r="J807" s="62"/>
      <c r="K807" s="62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 x14ac:dyDescent="0.2">
      <c r="A808" s="4"/>
      <c r="B808" s="4"/>
      <c r="C808" s="49"/>
      <c r="D808" s="91"/>
      <c r="E808" s="92"/>
      <c r="F808" s="23"/>
      <c r="G808" s="23"/>
      <c r="H808" s="23"/>
      <c r="I808" s="23"/>
      <c r="J808" s="62"/>
      <c r="K808" s="62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 x14ac:dyDescent="0.2">
      <c r="A809" s="4"/>
      <c r="B809" s="4"/>
      <c r="C809" s="49"/>
      <c r="D809" s="91"/>
      <c r="E809" s="92"/>
      <c r="F809" s="23"/>
      <c r="G809" s="23"/>
      <c r="H809" s="23"/>
      <c r="I809" s="23"/>
      <c r="J809" s="62"/>
      <c r="K809" s="62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 x14ac:dyDescent="0.2">
      <c r="A810" s="4"/>
      <c r="B810" s="4"/>
      <c r="C810" s="49"/>
      <c r="D810" s="91"/>
      <c r="E810" s="92"/>
      <c r="F810" s="23"/>
      <c r="G810" s="23"/>
      <c r="H810" s="23"/>
      <c r="I810" s="23"/>
      <c r="J810" s="62"/>
      <c r="K810" s="62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 x14ac:dyDescent="0.2">
      <c r="A811" s="4"/>
      <c r="B811" s="4"/>
      <c r="C811" s="49"/>
      <c r="D811" s="91"/>
      <c r="E811" s="92"/>
      <c r="F811" s="23"/>
      <c r="G811" s="23"/>
      <c r="H811" s="23"/>
      <c r="I811" s="23"/>
      <c r="J811" s="62"/>
      <c r="K811" s="62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 x14ac:dyDescent="0.2">
      <c r="A812" s="4"/>
      <c r="B812" s="4"/>
      <c r="C812" s="49"/>
      <c r="D812" s="91"/>
      <c r="E812" s="92"/>
      <c r="F812" s="23"/>
      <c r="G812" s="23"/>
      <c r="H812" s="23"/>
      <c r="I812" s="23"/>
      <c r="J812" s="62"/>
      <c r="K812" s="62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 x14ac:dyDescent="0.2">
      <c r="A813" s="4"/>
      <c r="B813" s="4"/>
      <c r="C813" s="49"/>
      <c r="D813" s="91"/>
      <c r="E813" s="92"/>
      <c r="F813" s="23"/>
      <c r="G813" s="23"/>
      <c r="H813" s="23"/>
      <c r="I813" s="23"/>
      <c r="J813" s="62"/>
      <c r="K813" s="62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 x14ac:dyDescent="0.2">
      <c r="A814" s="4"/>
      <c r="B814" s="4"/>
      <c r="C814" s="49"/>
      <c r="D814" s="91"/>
      <c r="E814" s="92"/>
      <c r="F814" s="23"/>
      <c r="G814" s="23"/>
      <c r="H814" s="23"/>
      <c r="I814" s="23"/>
      <c r="J814" s="62"/>
      <c r="K814" s="62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 x14ac:dyDescent="0.2">
      <c r="A815" s="4"/>
      <c r="B815" s="4"/>
      <c r="C815" s="49"/>
      <c r="D815" s="91"/>
      <c r="E815" s="92"/>
      <c r="F815" s="23"/>
      <c r="G815" s="23"/>
      <c r="H815" s="23"/>
      <c r="I815" s="23"/>
      <c r="J815" s="62"/>
      <c r="K815" s="62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 x14ac:dyDescent="0.2">
      <c r="A816" s="4"/>
      <c r="B816" s="4"/>
      <c r="C816" s="49"/>
      <c r="D816" s="91"/>
      <c r="E816" s="92"/>
      <c r="F816" s="23"/>
      <c r="G816" s="23"/>
      <c r="H816" s="23"/>
      <c r="I816" s="23"/>
      <c r="J816" s="62"/>
      <c r="K816" s="62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 x14ac:dyDescent="0.2">
      <c r="A817" s="4"/>
      <c r="B817" s="4"/>
      <c r="C817" s="49"/>
      <c r="D817" s="91"/>
      <c r="E817" s="92"/>
      <c r="F817" s="23"/>
      <c r="G817" s="23"/>
      <c r="H817" s="23"/>
      <c r="I817" s="23"/>
      <c r="J817" s="62"/>
      <c r="K817" s="62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 x14ac:dyDescent="0.2">
      <c r="A818" s="4"/>
      <c r="B818" s="4"/>
      <c r="C818" s="49"/>
      <c r="D818" s="91"/>
      <c r="E818" s="92"/>
      <c r="F818" s="23"/>
      <c r="G818" s="23"/>
      <c r="H818" s="23"/>
      <c r="I818" s="23"/>
      <c r="J818" s="62"/>
      <c r="K818" s="62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2">
      <c r="A819" s="4"/>
      <c r="B819" s="4"/>
      <c r="C819" s="49"/>
      <c r="D819" s="91"/>
      <c r="E819" s="92"/>
      <c r="F819" s="23"/>
      <c r="G819" s="23"/>
      <c r="H819" s="23"/>
      <c r="I819" s="23"/>
      <c r="J819" s="62"/>
      <c r="K819" s="62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2">
      <c r="A820" s="4"/>
      <c r="B820" s="4"/>
      <c r="C820" s="49"/>
      <c r="D820" s="91"/>
      <c r="E820" s="92"/>
      <c r="F820" s="23"/>
      <c r="G820" s="23"/>
      <c r="H820" s="23"/>
      <c r="I820" s="23"/>
      <c r="J820" s="62"/>
      <c r="K820" s="62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2">
      <c r="A821" s="4"/>
      <c r="B821" s="4"/>
      <c r="C821" s="49"/>
      <c r="D821" s="91"/>
      <c r="E821" s="92"/>
      <c r="F821" s="23"/>
      <c r="G821" s="23"/>
      <c r="H821" s="23"/>
      <c r="I821" s="23"/>
      <c r="J821" s="62"/>
      <c r="K821" s="62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2">
      <c r="A822" s="4"/>
      <c r="B822" s="4"/>
      <c r="C822" s="49"/>
      <c r="D822" s="91"/>
      <c r="E822" s="92"/>
      <c r="F822" s="23"/>
      <c r="G822" s="23"/>
      <c r="H822" s="23"/>
      <c r="I822" s="23"/>
      <c r="J822" s="62"/>
      <c r="K822" s="62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2">
      <c r="A823" s="4"/>
      <c r="B823" s="4"/>
      <c r="C823" s="49"/>
      <c r="D823" s="91"/>
      <c r="E823" s="92"/>
      <c r="F823" s="23"/>
      <c r="G823" s="23"/>
      <c r="H823" s="23"/>
      <c r="I823" s="23"/>
      <c r="J823" s="62"/>
      <c r="K823" s="62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2">
      <c r="A824" s="4"/>
      <c r="B824" s="4"/>
      <c r="C824" s="49"/>
      <c r="D824" s="91"/>
      <c r="E824" s="92"/>
      <c r="F824" s="23"/>
      <c r="G824" s="23"/>
      <c r="H824" s="23"/>
      <c r="I824" s="23"/>
      <c r="J824" s="62"/>
      <c r="K824" s="62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2">
      <c r="A825" s="4"/>
      <c r="B825" s="4"/>
      <c r="C825" s="49"/>
      <c r="D825" s="91"/>
      <c r="E825" s="92"/>
      <c r="F825" s="23"/>
      <c r="G825" s="23"/>
      <c r="H825" s="23"/>
      <c r="I825" s="23"/>
      <c r="J825" s="62"/>
      <c r="K825" s="62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2">
      <c r="A826" s="4"/>
      <c r="B826" s="4"/>
      <c r="C826" s="49"/>
      <c r="D826" s="91"/>
      <c r="E826" s="92"/>
      <c r="F826" s="23"/>
      <c r="G826" s="23"/>
      <c r="H826" s="23"/>
      <c r="I826" s="23"/>
      <c r="J826" s="62"/>
      <c r="K826" s="62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2">
      <c r="A827" s="4"/>
      <c r="B827" s="4"/>
      <c r="C827" s="49"/>
      <c r="D827" s="91"/>
      <c r="E827" s="92"/>
      <c r="F827" s="23"/>
      <c r="G827" s="23"/>
      <c r="H827" s="23"/>
      <c r="I827" s="23"/>
      <c r="J827" s="62"/>
      <c r="K827" s="62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2">
      <c r="A828" s="4"/>
      <c r="B828" s="4"/>
      <c r="C828" s="49"/>
      <c r="D828" s="91"/>
      <c r="E828" s="92"/>
      <c r="F828" s="23"/>
      <c r="G828" s="23"/>
      <c r="H828" s="23"/>
      <c r="I828" s="23"/>
      <c r="J828" s="62"/>
      <c r="K828" s="62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2">
      <c r="A829" s="4"/>
      <c r="B829" s="4"/>
      <c r="C829" s="49"/>
      <c r="D829" s="91"/>
      <c r="E829" s="92"/>
      <c r="F829" s="23"/>
      <c r="G829" s="23"/>
      <c r="H829" s="23"/>
      <c r="I829" s="23"/>
      <c r="J829" s="62"/>
      <c r="K829" s="62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2">
      <c r="A830" s="4"/>
      <c r="B830" s="4"/>
      <c r="C830" s="49"/>
      <c r="D830" s="91"/>
      <c r="E830" s="92"/>
      <c r="F830" s="23"/>
      <c r="G830" s="23"/>
      <c r="H830" s="23"/>
      <c r="I830" s="23"/>
      <c r="J830" s="62"/>
      <c r="K830" s="62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2">
      <c r="A831" s="4"/>
      <c r="B831" s="4"/>
      <c r="C831" s="49"/>
      <c r="D831" s="91"/>
      <c r="E831" s="92"/>
      <c r="F831" s="23"/>
      <c r="G831" s="23"/>
      <c r="H831" s="23"/>
      <c r="I831" s="23"/>
      <c r="J831" s="62"/>
      <c r="K831" s="62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2">
      <c r="A832" s="4"/>
      <c r="B832" s="4"/>
      <c r="C832" s="49"/>
      <c r="D832" s="91"/>
      <c r="E832" s="92"/>
      <c r="F832" s="23"/>
      <c r="G832" s="23"/>
      <c r="H832" s="23"/>
      <c r="I832" s="23"/>
      <c r="J832" s="62"/>
      <c r="K832" s="62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2">
      <c r="A833" s="4"/>
      <c r="B833" s="4"/>
      <c r="C833" s="49"/>
      <c r="D833" s="91"/>
      <c r="E833" s="92"/>
      <c r="F833" s="23"/>
      <c r="G833" s="23"/>
      <c r="H833" s="23"/>
      <c r="I833" s="23"/>
      <c r="J833" s="62"/>
      <c r="K833" s="62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2">
      <c r="A834" s="4"/>
      <c r="B834" s="4"/>
      <c r="C834" s="49"/>
      <c r="D834" s="91"/>
      <c r="E834" s="92"/>
      <c r="F834" s="23"/>
      <c r="G834" s="23"/>
      <c r="H834" s="23"/>
      <c r="I834" s="23"/>
      <c r="J834" s="62"/>
      <c r="K834" s="62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2">
      <c r="A835" s="4"/>
      <c r="B835" s="4"/>
      <c r="C835" s="49"/>
      <c r="D835" s="91"/>
      <c r="E835" s="92"/>
      <c r="F835" s="23"/>
      <c r="G835" s="23"/>
      <c r="H835" s="23"/>
      <c r="I835" s="23"/>
      <c r="J835" s="62"/>
      <c r="K835" s="62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2">
      <c r="A836" s="4"/>
      <c r="B836" s="4"/>
      <c r="C836" s="49"/>
      <c r="D836" s="91"/>
      <c r="E836" s="92"/>
      <c r="F836" s="23"/>
      <c r="G836" s="23"/>
      <c r="H836" s="23"/>
      <c r="I836" s="23"/>
      <c r="J836" s="62"/>
      <c r="K836" s="62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2">
      <c r="A837" s="4"/>
      <c r="B837" s="4"/>
      <c r="C837" s="49"/>
      <c r="D837" s="91"/>
      <c r="E837" s="92"/>
      <c r="F837" s="23"/>
      <c r="G837" s="23"/>
      <c r="H837" s="23"/>
      <c r="I837" s="23"/>
      <c r="J837" s="62"/>
      <c r="K837" s="62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2">
      <c r="A838" s="4"/>
      <c r="B838" s="4"/>
      <c r="C838" s="49"/>
      <c r="D838" s="91"/>
      <c r="E838" s="92"/>
      <c r="F838" s="23"/>
      <c r="G838" s="23"/>
      <c r="H838" s="23"/>
      <c r="I838" s="23"/>
      <c r="J838" s="62"/>
      <c r="K838" s="62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2">
      <c r="A839" s="4"/>
      <c r="B839" s="4"/>
      <c r="C839" s="49"/>
      <c r="D839" s="91"/>
      <c r="E839" s="92"/>
      <c r="F839" s="23"/>
      <c r="G839" s="23"/>
      <c r="H839" s="23"/>
      <c r="I839" s="23"/>
      <c r="J839" s="62"/>
      <c r="K839" s="62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2">
      <c r="A840" s="4"/>
      <c r="B840" s="4"/>
      <c r="C840" s="49"/>
      <c r="D840" s="91"/>
      <c r="E840" s="92"/>
      <c r="F840" s="23"/>
      <c r="G840" s="23"/>
      <c r="H840" s="23"/>
      <c r="I840" s="23"/>
      <c r="J840" s="62"/>
      <c r="K840" s="62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2">
      <c r="A841" s="4"/>
      <c r="B841" s="4"/>
      <c r="C841" s="49"/>
      <c r="D841" s="91"/>
      <c r="E841" s="92"/>
      <c r="F841" s="23"/>
      <c r="G841" s="23"/>
      <c r="H841" s="23"/>
      <c r="I841" s="23"/>
      <c r="J841" s="62"/>
      <c r="K841" s="62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2">
      <c r="A842" s="4"/>
      <c r="B842" s="4"/>
      <c r="C842" s="49"/>
      <c r="D842" s="91"/>
      <c r="E842" s="92"/>
      <c r="F842" s="23"/>
      <c r="G842" s="23"/>
      <c r="H842" s="23"/>
      <c r="I842" s="23"/>
      <c r="J842" s="62"/>
      <c r="K842" s="62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2">
      <c r="A843" s="4"/>
      <c r="B843" s="4"/>
      <c r="C843" s="49"/>
      <c r="D843" s="91"/>
      <c r="E843" s="92"/>
      <c r="F843" s="23"/>
      <c r="G843" s="23"/>
      <c r="H843" s="23"/>
      <c r="I843" s="23"/>
      <c r="J843" s="62"/>
      <c r="K843" s="62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2">
      <c r="A844" s="4"/>
      <c r="B844" s="4"/>
      <c r="C844" s="49"/>
      <c r="D844" s="91"/>
      <c r="E844" s="92"/>
      <c r="F844" s="23"/>
      <c r="G844" s="23"/>
      <c r="H844" s="23"/>
      <c r="I844" s="23"/>
      <c r="J844" s="62"/>
      <c r="K844" s="62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2">
      <c r="A845" s="4"/>
      <c r="B845" s="4"/>
      <c r="C845" s="49"/>
      <c r="D845" s="91"/>
      <c r="E845" s="92"/>
      <c r="F845" s="23"/>
      <c r="G845" s="23"/>
      <c r="H845" s="23"/>
      <c r="I845" s="23"/>
      <c r="J845" s="62"/>
      <c r="K845" s="62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2">
      <c r="A846" s="4"/>
      <c r="B846" s="4"/>
      <c r="C846" s="49"/>
      <c r="D846" s="91"/>
      <c r="E846" s="92"/>
      <c r="F846" s="23"/>
      <c r="G846" s="23"/>
      <c r="H846" s="23"/>
      <c r="I846" s="23"/>
      <c r="J846" s="62"/>
      <c r="K846" s="62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2">
      <c r="A847" s="4"/>
      <c r="B847" s="4"/>
      <c r="C847" s="49"/>
      <c r="D847" s="91"/>
      <c r="E847" s="92"/>
      <c r="F847" s="23"/>
      <c r="G847" s="23"/>
      <c r="H847" s="23"/>
      <c r="I847" s="23"/>
      <c r="J847" s="62"/>
      <c r="K847" s="62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2">
      <c r="A848" s="4"/>
      <c r="B848" s="4"/>
      <c r="C848" s="49"/>
      <c r="D848" s="91"/>
      <c r="E848" s="92"/>
      <c r="F848" s="23"/>
      <c r="G848" s="23"/>
      <c r="H848" s="23"/>
      <c r="I848" s="23"/>
      <c r="J848" s="62"/>
      <c r="K848" s="62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2">
      <c r="A849" s="4"/>
      <c r="B849" s="4"/>
      <c r="C849" s="49"/>
      <c r="D849" s="91"/>
      <c r="E849" s="92"/>
      <c r="F849" s="23"/>
      <c r="G849" s="23"/>
      <c r="H849" s="23"/>
      <c r="I849" s="23"/>
      <c r="J849" s="62"/>
      <c r="K849" s="62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2">
      <c r="A850" s="4"/>
      <c r="B850" s="4"/>
      <c r="C850" s="49"/>
      <c r="D850" s="91"/>
      <c r="E850" s="92"/>
      <c r="F850" s="23"/>
      <c r="G850" s="23"/>
      <c r="H850" s="23"/>
      <c r="I850" s="23"/>
      <c r="J850" s="62"/>
      <c r="K850" s="62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2">
      <c r="A851" s="4"/>
      <c r="B851" s="4"/>
      <c r="C851" s="49"/>
      <c r="D851" s="91"/>
      <c r="E851" s="92"/>
      <c r="F851" s="23"/>
      <c r="G851" s="23"/>
      <c r="H851" s="23"/>
      <c r="I851" s="23"/>
      <c r="J851" s="62"/>
      <c r="K851" s="62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2">
      <c r="A852" s="4"/>
      <c r="B852" s="4"/>
      <c r="C852" s="49"/>
      <c r="D852" s="91"/>
      <c r="E852" s="92"/>
      <c r="F852" s="23"/>
      <c r="G852" s="23"/>
      <c r="H852" s="23"/>
      <c r="I852" s="23"/>
      <c r="J852" s="62"/>
      <c r="K852" s="62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2">
      <c r="A853" s="4"/>
      <c r="B853" s="4"/>
      <c r="C853" s="49"/>
      <c r="D853" s="91"/>
      <c r="E853" s="92"/>
      <c r="F853" s="23"/>
      <c r="G853" s="23"/>
      <c r="H853" s="23"/>
      <c r="I853" s="23"/>
      <c r="J853" s="62"/>
      <c r="K853" s="62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2">
      <c r="A854" s="4"/>
      <c r="B854" s="4"/>
      <c r="C854" s="49"/>
      <c r="D854" s="91"/>
      <c r="E854" s="92"/>
      <c r="F854" s="23"/>
      <c r="G854" s="23"/>
      <c r="H854" s="23"/>
      <c r="I854" s="23"/>
      <c r="J854" s="62"/>
      <c r="K854" s="62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2">
      <c r="A855" s="4"/>
      <c r="B855" s="4"/>
      <c r="C855" s="49"/>
      <c r="D855" s="91"/>
      <c r="E855" s="92"/>
      <c r="F855" s="23"/>
      <c r="G855" s="23"/>
      <c r="H855" s="23"/>
      <c r="I855" s="23"/>
      <c r="J855" s="62"/>
      <c r="K855" s="62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2">
      <c r="A856" s="4"/>
      <c r="B856" s="4"/>
      <c r="C856" s="49"/>
      <c r="D856" s="91"/>
      <c r="E856" s="92"/>
      <c r="F856" s="23"/>
      <c r="G856" s="23"/>
      <c r="H856" s="23"/>
      <c r="I856" s="23"/>
      <c r="J856" s="62"/>
      <c r="K856" s="62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2">
      <c r="A857" s="4"/>
      <c r="B857" s="4"/>
      <c r="C857" s="49"/>
      <c r="D857" s="91"/>
      <c r="E857" s="92"/>
      <c r="F857" s="23"/>
      <c r="G857" s="23"/>
      <c r="H857" s="23"/>
      <c r="I857" s="23"/>
      <c r="J857" s="62"/>
      <c r="K857" s="62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2">
      <c r="A858" s="4"/>
      <c r="B858" s="4"/>
      <c r="C858" s="49"/>
      <c r="D858" s="91"/>
      <c r="E858" s="92"/>
      <c r="F858" s="23"/>
      <c r="G858" s="23"/>
      <c r="H858" s="23"/>
      <c r="I858" s="23"/>
      <c r="J858" s="62"/>
      <c r="K858" s="62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2">
      <c r="A859" s="4"/>
      <c r="B859" s="4"/>
      <c r="C859" s="49"/>
      <c r="D859" s="91"/>
      <c r="E859" s="92"/>
      <c r="F859" s="23"/>
      <c r="G859" s="23"/>
      <c r="H859" s="23"/>
      <c r="I859" s="23"/>
      <c r="J859" s="62"/>
      <c r="K859" s="62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2">
      <c r="A860" s="4"/>
      <c r="B860" s="4"/>
      <c r="C860" s="49"/>
      <c r="D860" s="91"/>
      <c r="E860" s="92"/>
      <c r="F860" s="23"/>
      <c r="G860" s="23"/>
      <c r="H860" s="23"/>
      <c r="I860" s="23"/>
      <c r="J860" s="62"/>
      <c r="K860" s="62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2">
      <c r="A861" s="4"/>
      <c r="B861" s="4"/>
      <c r="C861" s="49"/>
      <c r="D861" s="91"/>
      <c r="E861" s="92"/>
      <c r="F861" s="23"/>
      <c r="G861" s="23"/>
      <c r="H861" s="23"/>
      <c r="I861" s="23"/>
      <c r="J861" s="62"/>
      <c r="K861" s="62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2">
      <c r="A862" s="4"/>
      <c r="B862" s="4"/>
      <c r="C862" s="49"/>
      <c r="D862" s="91"/>
      <c r="E862" s="92"/>
      <c r="F862" s="23"/>
      <c r="G862" s="23"/>
      <c r="H862" s="23"/>
      <c r="I862" s="23"/>
      <c r="J862" s="62"/>
      <c r="K862" s="62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2">
      <c r="A863" s="4"/>
      <c r="B863" s="4"/>
      <c r="C863" s="49"/>
      <c r="D863" s="91"/>
      <c r="E863" s="92"/>
      <c r="F863" s="23"/>
      <c r="G863" s="23"/>
      <c r="H863" s="23"/>
      <c r="I863" s="23"/>
      <c r="J863" s="62"/>
      <c r="K863" s="62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2">
      <c r="A864" s="4"/>
      <c r="B864" s="4"/>
      <c r="C864" s="49"/>
      <c r="D864" s="91"/>
      <c r="E864" s="92"/>
      <c r="F864" s="23"/>
      <c r="G864" s="23"/>
      <c r="H864" s="23"/>
      <c r="I864" s="23"/>
      <c r="J864" s="62"/>
      <c r="K864" s="62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2">
      <c r="A865" s="4"/>
      <c r="B865" s="4"/>
      <c r="C865" s="49"/>
      <c r="D865" s="91"/>
      <c r="E865" s="92"/>
      <c r="F865" s="23"/>
      <c r="G865" s="23"/>
      <c r="H865" s="23"/>
      <c r="I865" s="23"/>
      <c r="J865" s="62"/>
      <c r="K865" s="62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2">
      <c r="A866" s="4"/>
      <c r="B866" s="4"/>
      <c r="C866" s="49"/>
      <c r="D866" s="91"/>
      <c r="E866" s="92"/>
      <c r="F866" s="23"/>
      <c r="G866" s="23"/>
      <c r="H866" s="23"/>
      <c r="I866" s="23"/>
      <c r="J866" s="62"/>
      <c r="K866" s="62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2">
      <c r="A867" s="4"/>
      <c r="B867" s="4"/>
      <c r="C867" s="49"/>
      <c r="D867" s="91"/>
      <c r="E867" s="92"/>
      <c r="F867" s="23"/>
      <c r="G867" s="23"/>
      <c r="H867" s="23"/>
      <c r="I867" s="23"/>
      <c r="J867" s="62"/>
      <c r="K867" s="62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2">
      <c r="A868" s="4"/>
      <c r="B868" s="4"/>
      <c r="C868" s="49"/>
      <c r="D868" s="91"/>
      <c r="E868" s="92"/>
      <c r="F868" s="23"/>
      <c r="G868" s="23"/>
      <c r="H868" s="23"/>
      <c r="I868" s="23"/>
      <c r="J868" s="62"/>
      <c r="K868" s="62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2">
      <c r="A869" s="4"/>
      <c r="B869" s="4"/>
      <c r="C869" s="49"/>
      <c r="D869" s="91"/>
      <c r="E869" s="92"/>
      <c r="F869" s="23"/>
      <c r="G869" s="23"/>
      <c r="H869" s="23"/>
      <c r="I869" s="23"/>
      <c r="J869" s="62"/>
      <c r="K869" s="62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2">
      <c r="A870" s="4"/>
      <c r="B870" s="4"/>
      <c r="C870" s="49"/>
      <c r="D870" s="91"/>
      <c r="E870" s="92"/>
      <c r="F870" s="23"/>
      <c r="G870" s="23"/>
      <c r="H870" s="23"/>
      <c r="I870" s="23"/>
      <c r="J870" s="62"/>
      <c r="K870" s="62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2">
      <c r="A871" s="4"/>
      <c r="B871" s="4"/>
      <c r="C871" s="49"/>
      <c r="D871" s="91"/>
      <c r="E871" s="92"/>
      <c r="F871" s="23"/>
      <c r="G871" s="23"/>
      <c r="H871" s="23"/>
      <c r="I871" s="23"/>
      <c r="J871" s="62"/>
      <c r="K871" s="62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2">
      <c r="A872" s="4"/>
      <c r="B872" s="4"/>
      <c r="C872" s="49"/>
      <c r="D872" s="91"/>
      <c r="E872" s="92"/>
      <c r="F872" s="23"/>
      <c r="G872" s="23"/>
      <c r="H872" s="23"/>
      <c r="I872" s="23"/>
      <c r="J872" s="62"/>
      <c r="K872" s="62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2">
      <c r="A873" s="4"/>
      <c r="B873" s="4"/>
      <c r="C873" s="49"/>
      <c r="D873" s="91"/>
      <c r="E873" s="92"/>
      <c r="F873" s="23"/>
      <c r="G873" s="23"/>
      <c r="H873" s="23"/>
      <c r="I873" s="23"/>
      <c r="J873" s="62"/>
      <c r="K873" s="62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2">
      <c r="A874" s="4"/>
      <c r="B874" s="4"/>
      <c r="C874" s="49"/>
      <c r="D874" s="91"/>
      <c r="E874" s="92"/>
      <c r="F874" s="23"/>
      <c r="G874" s="23"/>
      <c r="H874" s="23"/>
      <c r="I874" s="23"/>
      <c r="J874" s="62"/>
      <c r="K874" s="62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2">
      <c r="A875" s="4"/>
      <c r="B875" s="4"/>
      <c r="C875" s="49"/>
      <c r="D875" s="91"/>
      <c r="E875" s="92"/>
      <c r="F875" s="23"/>
      <c r="G875" s="23"/>
      <c r="H875" s="23"/>
      <c r="I875" s="23"/>
      <c r="J875" s="62"/>
      <c r="K875" s="62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2">
      <c r="A876" s="4"/>
      <c r="B876" s="4"/>
      <c r="C876" s="49"/>
      <c r="D876" s="91"/>
      <c r="E876" s="92"/>
      <c r="F876" s="23"/>
      <c r="G876" s="23"/>
      <c r="H876" s="23"/>
      <c r="I876" s="23"/>
      <c r="J876" s="62"/>
      <c r="K876" s="62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2">
      <c r="A877" s="4"/>
      <c r="B877" s="4"/>
      <c r="C877" s="49"/>
      <c r="D877" s="91"/>
      <c r="E877" s="92"/>
      <c r="F877" s="23"/>
      <c r="G877" s="23"/>
      <c r="H877" s="23"/>
      <c r="I877" s="23"/>
      <c r="J877" s="62"/>
      <c r="K877" s="62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2">
      <c r="A878" s="4"/>
      <c r="B878" s="4"/>
      <c r="C878" s="49"/>
      <c r="D878" s="91"/>
      <c r="E878" s="92"/>
      <c r="F878" s="23"/>
      <c r="G878" s="23"/>
      <c r="H878" s="23"/>
      <c r="I878" s="23"/>
      <c r="J878" s="62"/>
      <c r="K878" s="62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2">
      <c r="A879" s="4"/>
      <c r="B879" s="4"/>
      <c r="C879" s="49"/>
      <c r="D879" s="91"/>
      <c r="E879" s="92"/>
      <c r="F879" s="23"/>
      <c r="G879" s="23"/>
      <c r="H879" s="23"/>
      <c r="I879" s="23"/>
      <c r="J879" s="62"/>
      <c r="K879" s="62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2">
      <c r="A880" s="4"/>
      <c r="B880" s="4"/>
      <c r="C880" s="49"/>
      <c r="D880" s="91"/>
      <c r="E880" s="92"/>
      <c r="F880" s="23"/>
      <c r="G880" s="23"/>
      <c r="H880" s="23"/>
      <c r="I880" s="23"/>
      <c r="J880" s="62"/>
      <c r="K880" s="62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2">
      <c r="A881" s="4"/>
      <c r="B881" s="4"/>
      <c r="C881" s="49"/>
      <c r="D881" s="91"/>
      <c r="E881" s="92"/>
      <c r="F881" s="23"/>
      <c r="G881" s="23"/>
      <c r="H881" s="23"/>
      <c r="I881" s="23"/>
      <c r="J881" s="62"/>
      <c r="K881" s="62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2">
      <c r="A882" s="4"/>
      <c r="B882" s="4"/>
      <c r="C882" s="49"/>
      <c r="D882" s="91"/>
      <c r="E882" s="92"/>
      <c r="F882" s="23"/>
      <c r="G882" s="23"/>
      <c r="H882" s="23"/>
      <c r="I882" s="23"/>
      <c r="J882" s="62"/>
      <c r="K882" s="62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2">
      <c r="A883" s="4"/>
      <c r="B883" s="4"/>
      <c r="C883" s="49"/>
      <c r="D883" s="91"/>
      <c r="E883" s="92"/>
      <c r="F883" s="23"/>
      <c r="G883" s="23"/>
      <c r="H883" s="23"/>
      <c r="I883" s="23"/>
      <c r="J883" s="62"/>
      <c r="K883" s="62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2">
      <c r="A884" s="4"/>
      <c r="B884" s="4"/>
      <c r="C884" s="49"/>
      <c r="D884" s="91"/>
      <c r="E884" s="92"/>
      <c r="F884" s="23"/>
      <c r="G884" s="23"/>
      <c r="H884" s="23"/>
      <c r="I884" s="23"/>
      <c r="J884" s="62"/>
      <c r="K884" s="62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2">
      <c r="A885" s="4"/>
      <c r="B885" s="4"/>
      <c r="C885" s="49"/>
      <c r="D885" s="91"/>
      <c r="E885" s="92"/>
      <c r="F885" s="23"/>
      <c r="G885" s="23"/>
      <c r="H885" s="23"/>
      <c r="I885" s="23"/>
      <c r="J885" s="62"/>
      <c r="K885" s="62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2">
      <c r="A886" s="4"/>
      <c r="B886" s="4"/>
      <c r="C886" s="49"/>
      <c r="D886" s="91"/>
      <c r="E886" s="92"/>
      <c r="F886" s="23"/>
      <c r="G886" s="23"/>
      <c r="H886" s="23"/>
      <c r="I886" s="23"/>
      <c r="J886" s="62"/>
      <c r="K886" s="62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2">
      <c r="A887" s="4"/>
      <c r="B887" s="4"/>
      <c r="C887" s="49"/>
      <c r="D887" s="91"/>
      <c r="E887" s="92"/>
      <c r="F887" s="23"/>
      <c r="G887" s="23"/>
      <c r="H887" s="23"/>
      <c r="I887" s="23"/>
      <c r="J887" s="62"/>
      <c r="K887" s="62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2">
      <c r="A888" s="4"/>
      <c r="B888" s="4"/>
      <c r="C888" s="49"/>
      <c r="D888" s="91"/>
      <c r="E888" s="92"/>
      <c r="F888" s="23"/>
      <c r="G888" s="23"/>
      <c r="H888" s="23"/>
      <c r="I888" s="23"/>
      <c r="J888" s="62"/>
      <c r="K888" s="62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2">
      <c r="A889" s="4"/>
      <c r="B889" s="4"/>
      <c r="C889" s="49"/>
      <c r="D889" s="91"/>
      <c r="E889" s="92"/>
      <c r="F889" s="23"/>
      <c r="G889" s="23"/>
      <c r="H889" s="23"/>
      <c r="I889" s="23"/>
      <c r="J889" s="62"/>
      <c r="K889" s="62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2">
      <c r="A890" s="4"/>
      <c r="B890" s="4"/>
      <c r="C890" s="49"/>
      <c r="D890" s="91"/>
      <c r="E890" s="92"/>
      <c r="F890" s="23"/>
      <c r="G890" s="23"/>
      <c r="H890" s="23"/>
      <c r="I890" s="23"/>
      <c r="J890" s="62"/>
      <c r="K890" s="62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2">
      <c r="A891" s="4"/>
      <c r="B891" s="4"/>
      <c r="C891" s="49"/>
      <c r="D891" s="91"/>
      <c r="E891" s="92"/>
      <c r="F891" s="23"/>
      <c r="G891" s="23"/>
      <c r="H891" s="23"/>
      <c r="I891" s="23"/>
      <c r="J891" s="62"/>
      <c r="K891" s="62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2">
      <c r="A892" s="4"/>
      <c r="B892" s="4"/>
      <c r="C892" s="49"/>
      <c r="D892" s="91"/>
      <c r="E892" s="92"/>
      <c r="F892" s="23"/>
      <c r="G892" s="23"/>
      <c r="H892" s="23"/>
      <c r="I892" s="23"/>
      <c r="J892" s="62"/>
      <c r="K892" s="62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2">
      <c r="A893" s="4"/>
      <c r="B893" s="4"/>
      <c r="C893" s="49"/>
      <c r="D893" s="91"/>
      <c r="E893" s="92"/>
      <c r="F893" s="23"/>
      <c r="G893" s="23"/>
      <c r="H893" s="23"/>
      <c r="I893" s="23"/>
      <c r="J893" s="62"/>
      <c r="K893" s="62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2">
      <c r="A894" s="4"/>
      <c r="B894" s="4"/>
      <c r="C894" s="49"/>
      <c r="D894" s="91"/>
      <c r="E894" s="92"/>
      <c r="F894" s="23"/>
      <c r="G894" s="23"/>
      <c r="H894" s="23"/>
      <c r="I894" s="23"/>
      <c r="J894" s="62"/>
      <c r="K894" s="62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2">
      <c r="A895" s="4"/>
      <c r="B895" s="4"/>
      <c r="C895" s="49"/>
      <c r="D895" s="91"/>
      <c r="E895" s="92"/>
      <c r="F895" s="23"/>
      <c r="G895" s="23"/>
      <c r="H895" s="23"/>
      <c r="I895" s="23"/>
      <c r="J895" s="62"/>
      <c r="K895" s="62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2">
      <c r="A896" s="4"/>
      <c r="B896" s="4"/>
      <c r="C896" s="49"/>
      <c r="D896" s="91"/>
      <c r="E896" s="92"/>
      <c r="F896" s="23"/>
      <c r="G896" s="23"/>
      <c r="H896" s="23"/>
      <c r="I896" s="23"/>
      <c r="J896" s="62"/>
      <c r="K896" s="62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2">
      <c r="A897" s="4"/>
      <c r="B897" s="4"/>
      <c r="C897" s="49"/>
      <c r="D897" s="91"/>
      <c r="E897" s="92"/>
      <c r="F897" s="23"/>
      <c r="G897" s="23"/>
      <c r="H897" s="23"/>
      <c r="I897" s="23"/>
      <c r="J897" s="62"/>
      <c r="K897" s="62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2">
      <c r="A898" s="4"/>
      <c r="B898" s="4"/>
      <c r="C898" s="49"/>
      <c r="D898" s="91"/>
      <c r="E898" s="92"/>
      <c r="F898" s="23"/>
      <c r="G898" s="23"/>
      <c r="H898" s="23"/>
      <c r="I898" s="23"/>
      <c r="J898" s="62"/>
      <c r="K898" s="62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2">
      <c r="A899" s="4"/>
      <c r="B899" s="4"/>
      <c r="C899" s="49"/>
      <c r="D899" s="91"/>
      <c r="E899" s="92"/>
      <c r="F899" s="23"/>
      <c r="G899" s="23"/>
      <c r="H899" s="23"/>
      <c r="I899" s="23"/>
      <c r="J899" s="62"/>
      <c r="K899" s="62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2">
      <c r="A900" s="4"/>
      <c r="B900" s="4"/>
      <c r="C900" s="49"/>
      <c r="D900" s="91"/>
      <c r="E900" s="92"/>
      <c r="F900" s="23"/>
      <c r="G900" s="23"/>
      <c r="H900" s="23"/>
      <c r="I900" s="23"/>
      <c r="J900" s="62"/>
      <c r="K900" s="62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2">
      <c r="A901" s="4"/>
      <c r="B901" s="4"/>
      <c r="C901" s="49"/>
      <c r="D901" s="91"/>
      <c r="E901" s="92"/>
      <c r="F901" s="23"/>
      <c r="G901" s="23"/>
      <c r="H901" s="23"/>
      <c r="I901" s="23"/>
      <c r="J901" s="62"/>
      <c r="K901" s="62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 x14ac:dyDescent="0.2">
      <c r="A902" s="4"/>
      <c r="B902" s="4"/>
      <c r="C902" s="49"/>
      <c r="D902" s="91"/>
      <c r="E902" s="92"/>
      <c r="F902" s="23"/>
      <c r="G902" s="23"/>
      <c r="H902" s="23"/>
      <c r="I902" s="23"/>
      <c r="J902" s="62"/>
      <c r="K902" s="62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 x14ac:dyDescent="0.2">
      <c r="A903" s="4"/>
      <c r="B903" s="4"/>
      <c r="C903" s="49"/>
      <c r="D903" s="91"/>
      <c r="E903" s="92"/>
      <c r="F903" s="23"/>
      <c r="G903" s="23"/>
      <c r="H903" s="23"/>
      <c r="I903" s="23"/>
      <c r="J903" s="62"/>
      <c r="K903" s="62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 x14ac:dyDescent="0.2">
      <c r="A904" s="4"/>
      <c r="B904" s="4"/>
      <c r="C904" s="49"/>
      <c r="D904" s="91"/>
      <c r="E904" s="92"/>
      <c r="F904" s="23"/>
      <c r="G904" s="23"/>
      <c r="H904" s="23"/>
      <c r="I904" s="23"/>
      <c r="J904" s="62"/>
      <c r="K904" s="62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 x14ac:dyDescent="0.2">
      <c r="A905" s="4"/>
      <c r="B905" s="4"/>
      <c r="C905" s="49"/>
      <c r="D905" s="91"/>
      <c r="E905" s="92"/>
      <c r="F905" s="23"/>
      <c r="G905" s="23"/>
      <c r="H905" s="23"/>
      <c r="I905" s="23"/>
      <c r="J905" s="62"/>
      <c r="K905" s="62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 x14ac:dyDescent="0.2">
      <c r="A906" s="4"/>
      <c r="B906" s="4"/>
      <c r="C906" s="49"/>
      <c r="D906" s="91"/>
      <c r="E906" s="92"/>
      <c r="F906" s="23"/>
      <c r="G906" s="23"/>
      <c r="H906" s="23"/>
      <c r="I906" s="23"/>
      <c r="J906" s="62"/>
      <c r="K906" s="62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 x14ac:dyDescent="0.2">
      <c r="A907" s="4"/>
      <c r="B907" s="4"/>
      <c r="C907" s="49"/>
      <c r="D907" s="91"/>
      <c r="E907" s="92"/>
      <c r="F907" s="23"/>
      <c r="G907" s="23"/>
      <c r="H907" s="23"/>
      <c r="I907" s="23"/>
      <c r="J907" s="62"/>
      <c r="K907" s="62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 x14ac:dyDescent="0.2">
      <c r="A908" s="4"/>
      <c r="B908" s="4"/>
      <c r="C908" s="49"/>
      <c r="D908" s="91"/>
      <c r="E908" s="92"/>
      <c r="F908" s="23"/>
      <c r="G908" s="23"/>
      <c r="H908" s="23"/>
      <c r="I908" s="23"/>
      <c r="J908" s="62"/>
      <c r="K908" s="62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 x14ac:dyDescent="0.2">
      <c r="A909" s="4"/>
      <c r="B909" s="4"/>
      <c r="C909" s="49"/>
      <c r="D909" s="91"/>
      <c r="E909" s="92"/>
      <c r="F909" s="23"/>
      <c r="G909" s="23"/>
      <c r="H909" s="23"/>
      <c r="I909" s="23"/>
      <c r="J909" s="62"/>
      <c r="K909" s="62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 x14ac:dyDescent="0.2">
      <c r="A910" s="4"/>
      <c r="B910" s="4"/>
      <c r="C910" s="49"/>
      <c r="D910" s="91"/>
      <c r="E910" s="92"/>
      <c r="F910" s="23"/>
      <c r="G910" s="23"/>
      <c r="H910" s="23"/>
      <c r="I910" s="23"/>
      <c r="J910" s="62"/>
      <c r="K910" s="62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 x14ac:dyDescent="0.2">
      <c r="A911" s="4"/>
      <c r="B911" s="4"/>
      <c r="C911" s="49"/>
      <c r="D911" s="91"/>
      <c r="E911" s="92"/>
      <c r="F911" s="23"/>
      <c r="G911" s="23"/>
      <c r="H911" s="23"/>
      <c r="I911" s="23"/>
      <c r="J911" s="62"/>
      <c r="K911" s="62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 x14ac:dyDescent="0.2">
      <c r="A912" s="4"/>
      <c r="B912" s="4"/>
      <c r="C912" s="49"/>
      <c r="D912" s="91"/>
      <c r="E912" s="92"/>
      <c r="F912" s="23"/>
      <c r="G912" s="23"/>
      <c r="H912" s="23"/>
      <c r="I912" s="23"/>
      <c r="J912" s="62"/>
      <c r="K912" s="62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 x14ac:dyDescent="0.2">
      <c r="A913" s="4"/>
      <c r="B913" s="4"/>
      <c r="C913" s="49"/>
      <c r="D913" s="91"/>
      <c r="E913" s="92"/>
      <c r="F913" s="23"/>
      <c r="G913" s="23"/>
      <c r="H913" s="23"/>
      <c r="I913" s="23"/>
      <c r="J913" s="62"/>
      <c r="K913" s="62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 x14ac:dyDescent="0.2">
      <c r="A914" s="4"/>
      <c r="B914" s="4"/>
      <c r="C914" s="49"/>
      <c r="D914" s="91"/>
      <c r="E914" s="92"/>
      <c r="F914" s="23"/>
      <c r="G914" s="23"/>
      <c r="H914" s="23"/>
      <c r="I914" s="23"/>
      <c r="J914" s="62"/>
      <c r="K914" s="62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 x14ac:dyDescent="0.2">
      <c r="A915" s="4"/>
      <c r="B915" s="4"/>
      <c r="C915" s="49"/>
      <c r="D915" s="91"/>
      <c r="E915" s="92"/>
      <c r="F915" s="23"/>
      <c r="G915" s="23"/>
      <c r="H915" s="23"/>
      <c r="I915" s="23"/>
      <c r="J915" s="62"/>
      <c r="K915" s="62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 x14ac:dyDescent="0.2">
      <c r="A916" s="4"/>
      <c r="B916" s="4"/>
      <c r="C916" s="49"/>
      <c r="D916" s="91"/>
      <c r="E916" s="92"/>
      <c r="F916" s="23"/>
      <c r="G916" s="23"/>
      <c r="H916" s="23"/>
      <c r="I916" s="23"/>
      <c r="J916" s="62"/>
      <c r="K916" s="62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 x14ac:dyDescent="0.2">
      <c r="A917" s="4"/>
      <c r="B917" s="4"/>
      <c r="C917" s="49"/>
      <c r="D917" s="91"/>
      <c r="E917" s="92"/>
      <c r="F917" s="23"/>
      <c r="G917" s="23"/>
      <c r="H917" s="23"/>
      <c r="I917" s="23"/>
      <c r="J917" s="62"/>
      <c r="K917" s="62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 x14ac:dyDescent="0.2">
      <c r="A918" s="4"/>
      <c r="B918" s="4"/>
      <c r="C918" s="49"/>
      <c r="D918" s="91"/>
      <c r="E918" s="92"/>
      <c r="F918" s="23"/>
      <c r="G918" s="23"/>
      <c r="H918" s="23"/>
      <c r="I918" s="23"/>
      <c r="J918" s="62"/>
      <c r="K918" s="62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 x14ac:dyDescent="0.2">
      <c r="A919" s="4"/>
      <c r="B919" s="4"/>
      <c r="C919" s="49"/>
      <c r="D919" s="91"/>
      <c r="E919" s="92"/>
      <c r="F919" s="23"/>
      <c r="G919" s="23"/>
      <c r="H919" s="23"/>
      <c r="I919" s="23"/>
      <c r="J919" s="62"/>
      <c r="K919" s="62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 x14ac:dyDescent="0.2">
      <c r="A920" s="4"/>
      <c r="B920" s="4"/>
      <c r="C920" s="49"/>
      <c r="D920" s="91"/>
      <c r="E920" s="92"/>
      <c r="F920" s="23"/>
      <c r="G920" s="23"/>
      <c r="H920" s="23"/>
      <c r="I920" s="23"/>
      <c r="J920" s="62"/>
      <c r="K920" s="62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 x14ac:dyDescent="0.2">
      <c r="A921" s="4"/>
      <c r="B921" s="4"/>
      <c r="C921" s="49"/>
      <c r="D921" s="91"/>
      <c r="E921" s="92"/>
      <c r="F921" s="23"/>
      <c r="G921" s="23"/>
      <c r="H921" s="23"/>
      <c r="I921" s="23"/>
      <c r="J921" s="62"/>
      <c r="K921" s="62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 x14ac:dyDescent="0.2">
      <c r="A922" s="4"/>
      <c r="B922" s="4"/>
      <c r="C922" s="49"/>
      <c r="D922" s="91"/>
      <c r="E922" s="92"/>
      <c r="F922" s="23"/>
      <c r="G922" s="23"/>
      <c r="H922" s="23"/>
      <c r="I922" s="23"/>
      <c r="J922" s="62"/>
      <c r="K922" s="62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 x14ac:dyDescent="0.2">
      <c r="A923" s="4"/>
      <c r="B923" s="4"/>
      <c r="C923" s="49"/>
      <c r="D923" s="91"/>
      <c r="E923" s="92"/>
      <c r="F923" s="23"/>
      <c r="G923" s="23"/>
      <c r="H923" s="23"/>
      <c r="I923" s="23"/>
      <c r="J923" s="62"/>
      <c r="K923" s="62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 x14ac:dyDescent="0.2">
      <c r="A924" s="4"/>
      <c r="B924" s="4"/>
      <c r="C924" s="49"/>
      <c r="D924" s="91"/>
      <c r="E924" s="92"/>
      <c r="F924" s="23"/>
      <c r="G924" s="23"/>
      <c r="H924" s="23"/>
      <c r="I924" s="23"/>
      <c r="J924" s="62"/>
      <c r="K924" s="62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 x14ac:dyDescent="0.2">
      <c r="A925" s="4"/>
      <c r="B925" s="4"/>
      <c r="C925" s="49"/>
      <c r="D925" s="91"/>
      <c r="E925" s="92"/>
      <c r="F925" s="23"/>
      <c r="G925" s="23"/>
      <c r="H925" s="23"/>
      <c r="I925" s="23"/>
      <c r="J925" s="62"/>
      <c r="K925" s="62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 x14ac:dyDescent="0.2">
      <c r="A926" s="4"/>
      <c r="B926" s="4"/>
      <c r="C926" s="49"/>
      <c r="D926" s="91"/>
      <c r="E926" s="92"/>
      <c r="F926" s="23"/>
      <c r="G926" s="23"/>
      <c r="H926" s="23"/>
      <c r="I926" s="23"/>
      <c r="J926" s="62"/>
      <c r="K926" s="62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 x14ac:dyDescent="0.2">
      <c r="A927" s="4"/>
      <c r="B927" s="4"/>
      <c r="C927" s="49"/>
      <c r="D927" s="91"/>
      <c r="E927" s="92"/>
      <c r="F927" s="23"/>
      <c r="G927" s="23"/>
      <c r="H927" s="23"/>
      <c r="I927" s="23"/>
      <c r="J927" s="62"/>
      <c r="K927" s="62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 x14ac:dyDescent="0.2">
      <c r="A928" s="4"/>
      <c r="B928" s="4"/>
      <c r="C928" s="49"/>
      <c r="D928" s="91"/>
      <c r="E928" s="92"/>
      <c r="F928" s="23"/>
      <c r="G928" s="23"/>
      <c r="H928" s="23"/>
      <c r="I928" s="23"/>
      <c r="J928" s="62"/>
      <c r="K928" s="62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 x14ac:dyDescent="0.2">
      <c r="A929" s="4"/>
      <c r="B929" s="4"/>
      <c r="C929" s="49"/>
      <c r="D929" s="91"/>
      <c r="E929" s="92"/>
      <c r="F929" s="23"/>
      <c r="G929" s="23"/>
      <c r="H929" s="23"/>
      <c r="I929" s="23"/>
      <c r="J929" s="62"/>
      <c r="K929" s="62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 x14ac:dyDescent="0.2">
      <c r="A930" s="4"/>
      <c r="B930" s="4"/>
      <c r="C930" s="49"/>
      <c r="D930" s="91"/>
      <c r="E930" s="92"/>
      <c r="F930" s="23"/>
      <c r="G930" s="23"/>
      <c r="H930" s="23"/>
      <c r="I930" s="23"/>
      <c r="J930" s="62"/>
      <c r="K930" s="62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 x14ac:dyDescent="0.2">
      <c r="A931" s="4"/>
      <c r="B931" s="4"/>
      <c r="C931" s="49"/>
      <c r="D931" s="91"/>
      <c r="E931" s="92"/>
      <c r="F931" s="23"/>
      <c r="G931" s="23"/>
      <c r="H931" s="23"/>
      <c r="I931" s="23"/>
      <c r="J931" s="62"/>
      <c r="K931" s="62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 x14ac:dyDescent="0.2">
      <c r="A932" s="4"/>
      <c r="B932" s="4"/>
      <c r="C932" s="49"/>
      <c r="D932" s="91"/>
      <c r="E932" s="92"/>
      <c r="F932" s="23"/>
      <c r="G932" s="23"/>
      <c r="H932" s="23"/>
      <c r="I932" s="23"/>
      <c r="J932" s="62"/>
      <c r="K932" s="62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 x14ac:dyDescent="0.2">
      <c r="A933" s="4"/>
      <c r="B933" s="4"/>
      <c r="C933" s="49"/>
      <c r="D933" s="91"/>
      <c r="E933" s="92"/>
      <c r="F933" s="23"/>
      <c r="G933" s="23"/>
      <c r="H933" s="23"/>
      <c r="I933" s="23"/>
      <c r="J933" s="62"/>
      <c r="K933" s="62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 x14ac:dyDescent="0.2">
      <c r="A934" s="4"/>
      <c r="B934" s="4"/>
      <c r="C934" s="49"/>
      <c r="D934" s="91"/>
      <c r="E934" s="92"/>
      <c r="F934" s="23"/>
      <c r="G934" s="23"/>
      <c r="H934" s="23"/>
      <c r="I934" s="23"/>
      <c r="J934" s="62"/>
      <c r="K934" s="62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 x14ac:dyDescent="0.2">
      <c r="A935" s="4"/>
      <c r="B935" s="4"/>
      <c r="C935" s="49"/>
      <c r="D935" s="91"/>
      <c r="E935" s="92"/>
      <c r="F935" s="23"/>
      <c r="G935" s="23"/>
      <c r="H935" s="23"/>
      <c r="I935" s="23"/>
      <c r="J935" s="62"/>
      <c r="K935" s="62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 x14ac:dyDescent="0.2">
      <c r="A936" s="4"/>
      <c r="B936" s="4"/>
      <c r="C936" s="49"/>
      <c r="D936" s="91"/>
      <c r="E936" s="92"/>
      <c r="F936" s="23"/>
      <c r="G936" s="23"/>
      <c r="H936" s="23"/>
      <c r="I936" s="23"/>
      <c r="J936" s="62"/>
      <c r="K936" s="62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 x14ac:dyDescent="0.2">
      <c r="A937" s="4"/>
      <c r="B937" s="4"/>
      <c r="C937" s="49"/>
      <c r="D937" s="91"/>
      <c r="E937" s="92"/>
      <c r="F937" s="23"/>
      <c r="G937" s="23"/>
      <c r="H937" s="23"/>
      <c r="I937" s="23"/>
      <c r="J937" s="62"/>
      <c r="K937" s="62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 x14ac:dyDescent="0.2">
      <c r="A938" s="4"/>
      <c r="B938" s="4"/>
      <c r="C938" s="49"/>
      <c r="D938" s="91"/>
      <c r="E938" s="92"/>
      <c r="F938" s="23"/>
      <c r="G938" s="23"/>
      <c r="H938" s="23"/>
      <c r="I938" s="23"/>
      <c r="J938" s="62"/>
      <c r="K938" s="62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 x14ac:dyDescent="0.2">
      <c r="A939" s="4"/>
      <c r="B939" s="4"/>
      <c r="C939" s="49"/>
      <c r="D939" s="91"/>
      <c r="E939" s="92"/>
      <c r="F939" s="23"/>
      <c r="G939" s="23"/>
      <c r="H939" s="23"/>
      <c r="I939" s="23"/>
      <c r="J939" s="62"/>
      <c r="K939" s="62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 x14ac:dyDescent="0.2">
      <c r="A940" s="4"/>
      <c r="B940" s="4"/>
      <c r="C940" s="49"/>
      <c r="D940" s="91"/>
      <c r="E940" s="92"/>
      <c r="F940" s="23"/>
      <c r="G940" s="23"/>
      <c r="H940" s="23"/>
      <c r="I940" s="23"/>
      <c r="J940" s="62"/>
      <c r="K940" s="62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 x14ac:dyDescent="0.2">
      <c r="A941" s="4"/>
      <c r="B941" s="4"/>
      <c r="C941" s="49"/>
      <c r="D941" s="91"/>
      <c r="E941" s="92"/>
      <c r="F941" s="23"/>
      <c r="G941" s="23"/>
      <c r="H941" s="23"/>
      <c r="I941" s="23"/>
      <c r="J941" s="62"/>
      <c r="K941" s="62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 x14ac:dyDescent="0.2">
      <c r="A942" s="4"/>
      <c r="B942" s="4"/>
      <c r="C942" s="49"/>
      <c r="D942" s="91"/>
      <c r="E942" s="92"/>
      <c r="F942" s="23"/>
      <c r="G942" s="23"/>
      <c r="H942" s="23"/>
      <c r="I942" s="23"/>
      <c r="J942" s="62"/>
      <c r="K942" s="62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 x14ac:dyDescent="0.2">
      <c r="A943" s="4"/>
      <c r="B943" s="4"/>
      <c r="C943" s="49"/>
      <c r="D943" s="91"/>
      <c r="E943" s="92"/>
      <c r="F943" s="23"/>
      <c r="G943" s="23"/>
      <c r="H943" s="23"/>
      <c r="I943" s="23"/>
      <c r="J943" s="62"/>
      <c r="K943" s="62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 x14ac:dyDescent="0.2">
      <c r="A944" s="4"/>
      <c r="B944" s="4"/>
      <c r="C944" s="49"/>
      <c r="D944" s="91"/>
      <c r="E944" s="92"/>
      <c r="F944" s="23"/>
      <c r="G944" s="23"/>
      <c r="H944" s="23"/>
      <c r="I944" s="23"/>
      <c r="J944" s="62"/>
      <c r="K944" s="62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 x14ac:dyDescent="0.2">
      <c r="A945" s="4"/>
      <c r="B945" s="4"/>
      <c r="C945" s="49"/>
      <c r="D945" s="91"/>
      <c r="E945" s="92"/>
      <c r="F945" s="23"/>
      <c r="G945" s="23"/>
      <c r="H945" s="23"/>
      <c r="I945" s="23"/>
      <c r="J945" s="62"/>
      <c r="K945" s="62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 x14ac:dyDescent="0.2">
      <c r="A946" s="4"/>
      <c r="B946" s="4"/>
      <c r="C946" s="49"/>
      <c r="D946" s="91"/>
      <c r="E946" s="92"/>
      <c r="F946" s="23"/>
      <c r="G946" s="23"/>
      <c r="H946" s="23"/>
      <c r="I946" s="23"/>
      <c r="J946" s="62"/>
      <c r="K946" s="62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 x14ac:dyDescent="0.2">
      <c r="A947" s="4"/>
      <c r="B947" s="4"/>
      <c r="C947" s="49"/>
      <c r="D947" s="91"/>
      <c r="E947" s="92"/>
      <c r="F947" s="23"/>
      <c r="G947" s="23"/>
      <c r="H947" s="23"/>
      <c r="I947" s="23"/>
      <c r="J947" s="62"/>
      <c r="K947" s="62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 x14ac:dyDescent="0.2">
      <c r="A948" s="4"/>
      <c r="B948" s="4"/>
      <c r="C948" s="49"/>
      <c r="D948" s="91"/>
      <c r="E948" s="92"/>
      <c r="F948" s="23"/>
      <c r="G948" s="23"/>
      <c r="H948" s="23"/>
      <c r="I948" s="23"/>
      <c r="J948" s="62"/>
      <c r="K948" s="62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 x14ac:dyDescent="0.2">
      <c r="A949" s="4"/>
      <c r="B949" s="4"/>
      <c r="C949" s="49"/>
      <c r="D949" s="91"/>
      <c r="E949" s="92"/>
      <c r="F949" s="23"/>
      <c r="G949" s="23"/>
      <c r="H949" s="23"/>
      <c r="I949" s="23"/>
      <c r="J949" s="62"/>
      <c r="K949" s="62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 x14ac:dyDescent="0.2">
      <c r="A950" s="4"/>
      <c r="B950" s="4"/>
      <c r="C950" s="49"/>
      <c r="D950" s="91"/>
      <c r="E950" s="92"/>
      <c r="F950" s="23"/>
      <c r="G950" s="23"/>
      <c r="H950" s="23"/>
      <c r="I950" s="23"/>
      <c r="J950" s="62"/>
      <c r="K950" s="62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 x14ac:dyDescent="0.2">
      <c r="A951" s="4"/>
      <c r="B951" s="4"/>
      <c r="C951" s="49"/>
      <c r="D951" s="91"/>
      <c r="E951" s="92"/>
      <c r="F951" s="23"/>
      <c r="G951" s="23"/>
      <c r="H951" s="23"/>
      <c r="I951" s="23"/>
      <c r="J951" s="62"/>
      <c r="K951" s="62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 x14ac:dyDescent="0.2">
      <c r="A952" s="4"/>
      <c r="B952" s="4"/>
      <c r="C952" s="49"/>
      <c r="D952" s="91"/>
      <c r="E952" s="92"/>
      <c r="F952" s="23"/>
      <c r="G952" s="23"/>
      <c r="H952" s="23"/>
      <c r="I952" s="23"/>
      <c r="J952" s="62"/>
      <c r="K952" s="62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 x14ac:dyDescent="0.2">
      <c r="A953" s="4"/>
      <c r="B953" s="4"/>
      <c r="C953" s="49"/>
      <c r="D953" s="91"/>
      <c r="E953" s="92"/>
      <c r="F953" s="23"/>
      <c r="G953" s="23"/>
      <c r="H953" s="23"/>
      <c r="I953" s="23"/>
      <c r="J953" s="62"/>
      <c r="K953" s="62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 x14ac:dyDescent="0.2">
      <c r="A954" s="4"/>
      <c r="B954" s="4"/>
      <c r="C954" s="49"/>
      <c r="D954" s="91"/>
      <c r="E954" s="92"/>
      <c r="F954" s="23"/>
      <c r="G954" s="23"/>
      <c r="H954" s="23"/>
      <c r="I954" s="23"/>
      <c r="J954" s="62"/>
      <c r="K954" s="62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 x14ac:dyDescent="0.2">
      <c r="A955" s="4"/>
      <c r="B955" s="4"/>
      <c r="C955" s="49"/>
      <c r="D955" s="91"/>
      <c r="E955" s="92"/>
      <c r="F955" s="23"/>
      <c r="G955" s="23"/>
      <c r="H955" s="23"/>
      <c r="I955" s="23"/>
      <c r="J955" s="62"/>
      <c r="K955" s="62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 x14ac:dyDescent="0.2">
      <c r="A956" s="4"/>
      <c r="B956" s="4"/>
      <c r="C956" s="49"/>
      <c r="D956" s="91"/>
      <c r="E956" s="92"/>
      <c r="F956" s="23"/>
      <c r="G956" s="23"/>
      <c r="H956" s="23"/>
      <c r="I956" s="23"/>
      <c r="J956" s="62"/>
      <c r="K956" s="62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 x14ac:dyDescent="0.2">
      <c r="A957" s="4"/>
      <c r="B957" s="4"/>
      <c r="C957" s="49"/>
      <c r="D957" s="91"/>
      <c r="E957" s="92"/>
      <c r="F957" s="23"/>
      <c r="G957" s="23"/>
      <c r="H957" s="23"/>
      <c r="I957" s="23"/>
      <c r="J957" s="62"/>
      <c r="K957" s="62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 x14ac:dyDescent="0.2">
      <c r="A958" s="4"/>
      <c r="B958" s="4"/>
      <c r="C958" s="49"/>
      <c r="D958" s="91"/>
      <c r="E958" s="92"/>
      <c r="F958" s="23"/>
      <c r="G958" s="23"/>
      <c r="H958" s="23"/>
      <c r="I958" s="23"/>
      <c r="J958" s="62"/>
      <c r="K958" s="62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 x14ac:dyDescent="0.2">
      <c r="A959" s="4"/>
      <c r="B959" s="4"/>
      <c r="C959" s="49"/>
      <c r="D959" s="91"/>
      <c r="E959" s="92"/>
      <c r="F959" s="23"/>
      <c r="G959" s="23"/>
      <c r="H959" s="23"/>
      <c r="I959" s="23"/>
      <c r="J959" s="62"/>
      <c r="K959" s="62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 x14ac:dyDescent="0.2">
      <c r="A960" s="4"/>
      <c r="B960" s="4"/>
      <c r="C960" s="49"/>
      <c r="D960" s="91"/>
      <c r="E960" s="92"/>
      <c r="F960" s="23"/>
      <c r="G960" s="23"/>
      <c r="H960" s="23"/>
      <c r="I960" s="23"/>
      <c r="J960" s="62"/>
      <c r="K960" s="62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 x14ac:dyDescent="0.2">
      <c r="A961" s="4"/>
      <c r="B961" s="4"/>
      <c r="C961" s="49"/>
      <c r="D961" s="91"/>
      <c r="E961" s="92"/>
      <c r="F961" s="23"/>
      <c r="G961" s="23"/>
      <c r="H961" s="23"/>
      <c r="I961" s="23"/>
      <c r="J961" s="62"/>
      <c r="K961" s="62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 x14ac:dyDescent="0.2">
      <c r="A962" s="4"/>
      <c r="B962" s="4"/>
      <c r="C962" s="49"/>
      <c r="D962" s="91"/>
      <c r="E962" s="92"/>
      <c r="F962" s="23"/>
      <c r="G962" s="23"/>
      <c r="H962" s="23"/>
      <c r="I962" s="23"/>
      <c r="J962" s="62"/>
      <c r="K962" s="62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 x14ac:dyDescent="0.2">
      <c r="A963" s="4"/>
      <c r="B963" s="4"/>
      <c r="C963" s="49"/>
      <c r="D963" s="91"/>
      <c r="E963" s="92"/>
      <c r="F963" s="23"/>
      <c r="G963" s="23"/>
      <c r="H963" s="23"/>
      <c r="I963" s="23"/>
      <c r="J963" s="62"/>
      <c r="K963" s="62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 x14ac:dyDescent="0.2">
      <c r="A964" s="4"/>
      <c r="B964" s="4"/>
      <c r="C964" s="49"/>
      <c r="D964" s="91"/>
      <c r="E964" s="92"/>
      <c r="F964" s="23"/>
      <c r="G964" s="23"/>
      <c r="H964" s="23"/>
      <c r="I964" s="23"/>
      <c r="J964" s="62"/>
      <c r="K964" s="62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 x14ac:dyDescent="0.2">
      <c r="A965" s="4"/>
      <c r="B965" s="4"/>
      <c r="C965" s="49"/>
      <c r="D965" s="91"/>
      <c r="E965" s="92"/>
      <c r="F965" s="23"/>
      <c r="G965" s="23"/>
      <c r="H965" s="23"/>
      <c r="I965" s="23"/>
      <c r="J965" s="62"/>
      <c r="K965" s="62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 x14ac:dyDescent="0.2">
      <c r="A966" s="4"/>
      <c r="B966" s="4"/>
      <c r="C966" s="49"/>
      <c r="D966" s="91"/>
      <c r="E966" s="92"/>
      <c r="F966" s="23"/>
      <c r="G966" s="23"/>
      <c r="H966" s="23"/>
      <c r="I966" s="23"/>
      <c r="J966" s="62"/>
      <c r="K966" s="62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 x14ac:dyDescent="0.2">
      <c r="A967" s="4"/>
      <c r="B967" s="4"/>
      <c r="C967" s="49"/>
      <c r="D967" s="91"/>
      <c r="E967" s="92"/>
      <c r="F967" s="23"/>
      <c r="G967" s="23"/>
      <c r="H967" s="23"/>
      <c r="I967" s="23"/>
      <c r="J967" s="62"/>
      <c r="K967" s="62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 x14ac:dyDescent="0.2">
      <c r="A968" s="4"/>
      <c r="B968" s="4"/>
      <c r="C968" s="49"/>
      <c r="D968" s="91"/>
      <c r="E968" s="92"/>
      <c r="F968" s="23"/>
      <c r="G968" s="23"/>
      <c r="H968" s="23"/>
      <c r="I968" s="23"/>
      <c r="J968" s="62"/>
      <c r="K968" s="62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 x14ac:dyDescent="0.2">
      <c r="A969" s="4"/>
      <c r="B969" s="4"/>
      <c r="C969" s="49"/>
      <c r="D969" s="91"/>
      <c r="E969" s="92"/>
      <c r="F969" s="23"/>
      <c r="G969" s="23"/>
      <c r="H969" s="23"/>
      <c r="I969" s="23"/>
      <c r="J969" s="62"/>
      <c r="K969" s="62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 x14ac:dyDescent="0.2">
      <c r="A970" s="4"/>
      <c r="B970" s="4"/>
      <c r="C970" s="49"/>
      <c r="D970" s="91"/>
      <c r="E970" s="92"/>
      <c r="F970" s="23"/>
      <c r="G970" s="23"/>
      <c r="H970" s="23"/>
      <c r="I970" s="23"/>
      <c r="J970" s="62"/>
      <c r="K970" s="62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 x14ac:dyDescent="0.2">
      <c r="A971" s="4"/>
      <c r="B971" s="4"/>
      <c r="C971" s="49"/>
      <c r="D971" s="91"/>
      <c r="E971" s="92"/>
      <c r="F971" s="23"/>
      <c r="G971" s="23"/>
      <c r="H971" s="23"/>
      <c r="I971" s="23"/>
      <c r="J971" s="62"/>
      <c r="K971" s="62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 x14ac:dyDescent="0.2">
      <c r="A972" s="4"/>
      <c r="B972" s="4"/>
      <c r="C972" s="49"/>
      <c r="D972" s="91"/>
      <c r="E972" s="92"/>
      <c r="F972" s="23"/>
      <c r="G972" s="23"/>
      <c r="H972" s="23"/>
      <c r="I972" s="23"/>
      <c r="J972" s="62"/>
      <c r="K972" s="62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 x14ac:dyDescent="0.2">
      <c r="A973" s="4"/>
      <c r="B973" s="4"/>
      <c r="C973" s="49"/>
      <c r="D973" s="91"/>
      <c r="E973" s="92"/>
      <c r="F973" s="23"/>
      <c r="G973" s="23"/>
      <c r="H973" s="23"/>
      <c r="I973" s="23"/>
      <c r="J973" s="62"/>
      <c r="K973" s="62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 x14ac:dyDescent="0.2">
      <c r="A974" s="4"/>
      <c r="B974" s="4"/>
      <c r="C974" s="49"/>
      <c r="D974" s="91"/>
      <c r="E974" s="92"/>
      <c r="F974" s="23"/>
      <c r="G974" s="23"/>
      <c r="H974" s="23"/>
      <c r="I974" s="23"/>
      <c r="J974" s="62"/>
      <c r="K974" s="62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 x14ac:dyDescent="0.2">
      <c r="A975" s="4"/>
      <c r="B975" s="4"/>
      <c r="C975" s="49"/>
      <c r="D975" s="91"/>
      <c r="E975" s="92"/>
      <c r="F975" s="23"/>
      <c r="G975" s="23"/>
      <c r="H975" s="23"/>
      <c r="I975" s="23"/>
      <c r="J975" s="62"/>
      <c r="K975" s="62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 x14ac:dyDescent="0.2">
      <c r="A976" s="4"/>
      <c r="B976" s="4"/>
      <c r="C976" s="49"/>
      <c r="D976" s="91"/>
      <c r="E976" s="92"/>
      <c r="F976" s="23"/>
      <c r="G976" s="23"/>
      <c r="H976" s="23"/>
      <c r="I976" s="23"/>
      <c r="J976" s="62"/>
      <c r="K976" s="62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 x14ac:dyDescent="0.2">
      <c r="A977" s="4"/>
      <c r="B977" s="4"/>
      <c r="C977" s="49"/>
      <c r="D977" s="91"/>
      <c r="E977" s="92"/>
      <c r="F977" s="23"/>
      <c r="G977" s="23"/>
      <c r="H977" s="23"/>
      <c r="I977" s="23"/>
      <c r="J977" s="62"/>
      <c r="K977" s="62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 x14ac:dyDescent="0.2">
      <c r="A978" s="4"/>
      <c r="B978" s="4"/>
      <c r="C978" s="49"/>
      <c r="D978" s="91"/>
      <c r="E978" s="92"/>
      <c r="F978" s="23"/>
      <c r="G978" s="23"/>
      <c r="H978" s="23"/>
      <c r="I978" s="23"/>
      <c r="J978" s="62"/>
      <c r="K978" s="62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 x14ac:dyDescent="0.2">
      <c r="A979" s="4"/>
      <c r="B979" s="4"/>
      <c r="C979" s="49"/>
      <c r="D979" s="91"/>
      <c r="E979" s="92"/>
      <c r="F979" s="23"/>
      <c r="G979" s="23"/>
      <c r="H979" s="23"/>
      <c r="I979" s="23"/>
      <c r="J979" s="62"/>
      <c r="K979" s="62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 x14ac:dyDescent="0.2">
      <c r="A980" s="4"/>
      <c r="B980" s="4"/>
      <c r="C980" s="49"/>
      <c r="D980" s="91"/>
      <c r="E980" s="92"/>
      <c r="F980" s="23"/>
      <c r="G980" s="23"/>
      <c r="H980" s="23"/>
      <c r="I980" s="23"/>
      <c r="J980" s="62"/>
      <c r="K980" s="62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 x14ac:dyDescent="0.2">
      <c r="A981" s="4"/>
      <c r="B981" s="4"/>
      <c r="C981" s="49"/>
      <c r="D981" s="91"/>
      <c r="E981" s="92"/>
      <c r="F981" s="23"/>
      <c r="G981" s="23"/>
      <c r="H981" s="23"/>
      <c r="I981" s="23"/>
      <c r="J981" s="62"/>
      <c r="K981" s="62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 x14ac:dyDescent="0.2">
      <c r="A982" s="4"/>
      <c r="B982" s="4"/>
      <c r="C982" s="49"/>
      <c r="D982" s="91"/>
      <c r="E982" s="92"/>
      <c r="F982" s="23"/>
      <c r="G982" s="23"/>
      <c r="H982" s="23"/>
      <c r="I982" s="23"/>
      <c r="J982" s="62"/>
      <c r="K982" s="62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 x14ac:dyDescent="0.2">
      <c r="A983" s="4"/>
      <c r="B983" s="4"/>
      <c r="C983" s="49"/>
      <c r="D983" s="91"/>
      <c r="E983" s="92"/>
      <c r="F983" s="23"/>
      <c r="G983" s="23"/>
      <c r="H983" s="23"/>
      <c r="I983" s="23"/>
      <c r="J983" s="62"/>
      <c r="K983" s="62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 x14ac:dyDescent="0.2">
      <c r="A984" s="4"/>
      <c r="B984" s="4"/>
      <c r="C984" s="49"/>
      <c r="D984" s="91"/>
      <c r="E984" s="92"/>
      <c r="F984" s="23"/>
      <c r="G984" s="23"/>
      <c r="H984" s="23"/>
      <c r="I984" s="23"/>
      <c r="J984" s="62"/>
      <c r="K984" s="62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 x14ac:dyDescent="0.2">
      <c r="A985" s="4"/>
      <c r="B985" s="4"/>
      <c r="C985" s="49"/>
      <c r="D985" s="91"/>
      <c r="E985" s="92"/>
      <c r="F985" s="23"/>
      <c r="G985" s="23"/>
      <c r="H985" s="23"/>
      <c r="I985" s="23"/>
      <c r="J985" s="62"/>
      <c r="K985" s="62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 x14ac:dyDescent="0.2">
      <c r="A986" s="4"/>
      <c r="B986" s="4"/>
      <c r="C986" s="49"/>
      <c r="D986" s="91"/>
      <c r="E986" s="92"/>
      <c r="F986" s="23"/>
      <c r="G986" s="23"/>
      <c r="H986" s="23"/>
      <c r="I986" s="23"/>
      <c r="J986" s="62"/>
      <c r="K986" s="62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 x14ac:dyDescent="0.2">
      <c r="A987" s="4"/>
      <c r="B987" s="4"/>
      <c r="C987" s="49"/>
      <c r="D987" s="91"/>
      <c r="E987" s="92"/>
      <c r="F987" s="23"/>
      <c r="G987" s="23"/>
      <c r="H987" s="23"/>
      <c r="I987" s="23"/>
      <c r="J987" s="62"/>
      <c r="K987" s="62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 x14ac:dyDescent="0.2">
      <c r="A988" s="4"/>
      <c r="B988" s="4"/>
      <c r="C988" s="49"/>
      <c r="D988" s="91"/>
      <c r="E988" s="92"/>
      <c r="F988" s="23"/>
      <c r="G988" s="23"/>
      <c r="H988" s="23"/>
      <c r="I988" s="23"/>
      <c r="J988" s="62"/>
      <c r="K988" s="62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 x14ac:dyDescent="0.2">
      <c r="A989" s="4"/>
      <c r="B989" s="4"/>
      <c r="C989" s="49"/>
      <c r="D989" s="91"/>
      <c r="E989" s="92"/>
      <c r="F989" s="23"/>
      <c r="G989" s="23"/>
      <c r="H989" s="23"/>
      <c r="I989" s="23"/>
      <c r="J989" s="62"/>
      <c r="K989" s="62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 x14ac:dyDescent="0.2">
      <c r="A990" s="4"/>
      <c r="B990" s="4"/>
      <c r="C990" s="49"/>
      <c r="D990" s="91"/>
      <c r="E990" s="92"/>
      <c r="F990" s="23"/>
      <c r="G990" s="23"/>
      <c r="H990" s="23"/>
      <c r="I990" s="23"/>
      <c r="J990" s="62"/>
      <c r="K990" s="62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 x14ac:dyDescent="0.2">
      <c r="A991" s="4"/>
      <c r="B991" s="4"/>
      <c r="C991" s="49"/>
      <c r="D991" s="91"/>
      <c r="E991" s="92"/>
      <c r="F991" s="23"/>
      <c r="G991" s="23"/>
      <c r="H991" s="23"/>
      <c r="I991" s="23"/>
      <c r="J991" s="62"/>
      <c r="K991" s="62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 x14ac:dyDescent="0.2">
      <c r="A992" s="4"/>
      <c r="B992" s="4"/>
      <c r="C992" s="49"/>
      <c r="D992" s="91"/>
      <c r="E992" s="92"/>
      <c r="F992" s="23"/>
      <c r="G992" s="23"/>
      <c r="H992" s="23"/>
      <c r="I992" s="23"/>
      <c r="J992" s="62"/>
      <c r="K992" s="62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 x14ac:dyDescent="0.2">
      <c r="A993" s="4"/>
      <c r="B993" s="4"/>
      <c r="C993" s="49"/>
      <c r="D993" s="91"/>
      <c r="E993" s="92"/>
      <c r="F993" s="23"/>
      <c r="G993" s="23"/>
      <c r="H993" s="23"/>
      <c r="I993" s="23"/>
      <c r="J993" s="62"/>
      <c r="K993" s="62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 x14ac:dyDescent="0.2">
      <c r="A994" s="4"/>
      <c r="B994" s="4"/>
      <c r="C994" s="49"/>
      <c r="D994" s="91"/>
      <c r="E994" s="92"/>
      <c r="F994" s="23"/>
      <c r="G994" s="23"/>
      <c r="H994" s="23"/>
      <c r="I994" s="23"/>
      <c r="J994" s="62"/>
      <c r="K994" s="62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 x14ac:dyDescent="0.2">
      <c r="A995" s="4"/>
      <c r="B995" s="4"/>
      <c r="C995" s="49"/>
      <c r="D995" s="91"/>
      <c r="E995" s="92"/>
      <c r="F995" s="23"/>
      <c r="G995" s="23"/>
      <c r="H995" s="23"/>
      <c r="I995" s="23"/>
      <c r="J995" s="62"/>
      <c r="K995" s="62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customHeight="1" x14ac:dyDescent="0.2">
      <c r="A996" s="4"/>
      <c r="B996" s="4"/>
      <c r="C996" s="49"/>
      <c r="D996" s="91"/>
      <c r="E996" s="92"/>
      <c r="F996" s="23"/>
      <c r="G996" s="23"/>
      <c r="H996" s="23"/>
      <c r="I996" s="23"/>
      <c r="J996" s="62"/>
      <c r="K996" s="62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customHeight="1" x14ac:dyDescent="0.2">
      <c r="A997" s="4"/>
      <c r="B997" s="4"/>
      <c r="C997" s="49"/>
      <c r="D997" s="91"/>
      <c r="E997" s="92"/>
      <c r="F997" s="23"/>
      <c r="G997" s="23"/>
      <c r="H997" s="23"/>
      <c r="I997" s="23"/>
      <c r="J997" s="62"/>
      <c r="K997" s="62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customHeight="1" x14ac:dyDescent="0.2">
      <c r="A998" s="4"/>
      <c r="B998" s="4"/>
      <c r="C998" s="49"/>
      <c r="D998" s="91"/>
      <c r="E998" s="92"/>
      <c r="F998" s="23"/>
      <c r="G998" s="23"/>
      <c r="H998" s="23"/>
      <c r="I998" s="23"/>
      <c r="J998" s="62"/>
      <c r="K998" s="62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customHeight="1" x14ac:dyDescent="0.2">
      <c r="A999" s="4"/>
      <c r="B999" s="4"/>
      <c r="C999" s="49"/>
      <c r="D999" s="91"/>
      <c r="E999" s="92"/>
      <c r="F999" s="23"/>
      <c r="G999" s="23"/>
      <c r="H999" s="23"/>
      <c r="I999" s="23"/>
      <c r="J999" s="62"/>
      <c r="K999" s="62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customHeight="1" x14ac:dyDescent="0.2">
      <c r="A1000" s="4"/>
      <c r="B1000" s="4"/>
      <c r="C1000" s="49"/>
      <c r="D1000" s="91"/>
      <c r="E1000" s="92"/>
      <c r="F1000" s="23"/>
      <c r="G1000" s="23"/>
      <c r="H1000" s="23"/>
      <c r="I1000" s="23"/>
      <c r="J1000" s="62"/>
      <c r="K1000" s="62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.75" customHeight="1" x14ac:dyDescent="0.2">
      <c r="A1001" s="4"/>
      <c r="B1001" s="4"/>
      <c r="C1001" s="49"/>
      <c r="D1001" s="91"/>
      <c r="E1001" s="92"/>
      <c r="F1001" s="23"/>
      <c r="G1001" s="23"/>
      <c r="H1001" s="23"/>
      <c r="I1001" s="23"/>
      <c r="J1001" s="62"/>
      <c r="K1001" s="62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.75" customHeight="1" x14ac:dyDescent="0.2">
      <c r="A1002" s="4"/>
      <c r="B1002" s="4"/>
      <c r="C1002" s="49"/>
      <c r="D1002" s="91"/>
      <c r="E1002" s="92"/>
      <c r="F1002" s="23"/>
      <c r="G1002" s="23"/>
      <c r="H1002" s="23"/>
      <c r="I1002" s="23"/>
      <c r="J1002" s="62"/>
      <c r="K1002" s="62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.75" customHeight="1" x14ac:dyDescent="0.2">
      <c r="A1003" s="4"/>
      <c r="B1003" s="4"/>
      <c r="C1003" s="49"/>
      <c r="D1003" s="91"/>
      <c r="E1003" s="92"/>
      <c r="F1003" s="23"/>
      <c r="G1003" s="23"/>
      <c r="H1003" s="23"/>
      <c r="I1003" s="23"/>
      <c r="J1003" s="62"/>
      <c r="K1003" s="62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.75" customHeight="1" x14ac:dyDescent="0.2">
      <c r="A1004" s="4"/>
      <c r="B1004" s="4"/>
      <c r="C1004" s="49"/>
      <c r="D1004" s="91"/>
      <c r="E1004" s="92"/>
      <c r="F1004" s="23"/>
      <c r="G1004" s="23"/>
      <c r="H1004" s="23"/>
      <c r="I1004" s="23"/>
      <c r="J1004" s="62"/>
      <c r="K1004" s="62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.75" customHeight="1" x14ac:dyDescent="0.2">
      <c r="A1005" s="4"/>
      <c r="B1005" s="4"/>
      <c r="C1005" s="49"/>
      <c r="D1005" s="91"/>
      <c r="E1005" s="92"/>
      <c r="F1005" s="23"/>
      <c r="G1005" s="23"/>
      <c r="H1005" s="23"/>
      <c r="I1005" s="23"/>
      <c r="J1005" s="62"/>
      <c r="K1005" s="62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.75" customHeight="1" x14ac:dyDescent="0.2">
      <c r="A1006" s="4"/>
      <c r="B1006" s="4"/>
      <c r="C1006" s="49"/>
      <c r="D1006" s="91"/>
      <c r="E1006" s="92"/>
      <c r="F1006" s="23"/>
      <c r="G1006" s="23"/>
      <c r="H1006" s="23"/>
      <c r="I1006" s="23"/>
      <c r="J1006" s="62"/>
      <c r="K1006" s="62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.75" customHeight="1" x14ac:dyDescent="0.2">
      <c r="A1007" s="4"/>
      <c r="B1007" s="4"/>
      <c r="C1007" s="49"/>
      <c r="D1007" s="91"/>
      <c r="E1007" s="92"/>
      <c r="F1007" s="23"/>
      <c r="G1007" s="23"/>
      <c r="H1007" s="23"/>
      <c r="I1007" s="23"/>
      <c r="J1007" s="62"/>
      <c r="K1007" s="62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.75" customHeight="1" x14ac:dyDescent="0.2">
      <c r="A1008" s="4"/>
      <c r="B1008" s="4"/>
      <c r="C1008" s="49"/>
      <c r="D1008" s="91"/>
      <c r="E1008" s="92"/>
      <c r="F1008" s="23"/>
      <c r="G1008" s="23"/>
      <c r="H1008" s="23"/>
      <c r="I1008" s="23"/>
      <c r="J1008" s="62"/>
      <c r="K1008" s="62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5.75" customHeight="1" x14ac:dyDescent="0.2">
      <c r="A1009" s="4"/>
      <c r="B1009" s="4"/>
      <c r="C1009" s="49"/>
      <c r="D1009" s="91"/>
      <c r="E1009" s="92"/>
      <c r="F1009" s="23"/>
      <c r="G1009" s="23"/>
      <c r="H1009" s="23"/>
      <c r="I1009" s="23"/>
      <c r="J1009" s="62"/>
      <c r="K1009" s="62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.75" customHeight="1" x14ac:dyDescent="0.2">
      <c r="A1010" s="4"/>
      <c r="B1010" s="4"/>
      <c r="C1010" s="49"/>
      <c r="D1010" s="91"/>
      <c r="E1010" s="92"/>
      <c r="F1010" s="23"/>
      <c r="G1010" s="23"/>
      <c r="H1010" s="23"/>
      <c r="I1010" s="23"/>
      <c r="J1010" s="62"/>
      <c r="K1010" s="62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5.75" customHeight="1" x14ac:dyDescent="0.2">
      <c r="A1011" s="4"/>
      <c r="B1011" s="4"/>
      <c r="C1011" s="49"/>
      <c r="D1011" s="91"/>
      <c r="E1011" s="92"/>
      <c r="F1011" s="23"/>
      <c r="G1011" s="23"/>
      <c r="H1011" s="23"/>
      <c r="I1011" s="23"/>
      <c r="J1011" s="62"/>
      <c r="K1011" s="62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.75" customHeight="1" x14ac:dyDescent="0.2">
      <c r="A1012" s="4"/>
      <c r="B1012" s="4"/>
      <c r="C1012" s="49"/>
      <c r="D1012" s="91"/>
      <c r="E1012" s="92"/>
      <c r="F1012" s="23"/>
      <c r="G1012" s="23"/>
      <c r="H1012" s="23"/>
      <c r="I1012" s="23"/>
      <c r="J1012" s="62"/>
      <c r="K1012" s="62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.75" customHeight="1" x14ac:dyDescent="0.2">
      <c r="A1013" s="4"/>
      <c r="B1013" s="4"/>
      <c r="C1013" s="49"/>
      <c r="D1013" s="91"/>
      <c r="E1013" s="92"/>
      <c r="F1013" s="23"/>
      <c r="G1013" s="23"/>
      <c r="H1013" s="23"/>
      <c r="I1013" s="23"/>
      <c r="J1013" s="62"/>
      <c r="K1013" s="62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.75" customHeight="1" x14ac:dyDescent="0.2">
      <c r="A1014" s="4"/>
      <c r="B1014" s="4"/>
      <c r="C1014" s="49"/>
      <c r="D1014" s="91"/>
      <c r="E1014" s="92"/>
      <c r="F1014" s="23"/>
      <c r="G1014" s="23"/>
      <c r="H1014" s="23"/>
      <c r="I1014" s="23"/>
      <c r="J1014" s="62"/>
      <c r="K1014" s="62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.75" customHeight="1" x14ac:dyDescent="0.2">
      <c r="A1015" s="4"/>
      <c r="B1015" s="4"/>
      <c r="C1015" s="49"/>
      <c r="D1015" s="91"/>
      <c r="E1015" s="92"/>
      <c r="F1015" s="23"/>
      <c r="G1015" s="23"/>
      <c r="H1015" s="23"/>
      <c r="I1015" s="23"/>
      <c r="J1015" s="62"/>
      <c r="K1015" s="62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.75" customHeight="1" x14ac:dyDescent="0.2">
      <c r="A1016" s="4"/>
      <c r="B1016" s="4"/>
      <c r="C1016" s="49"/>
      <c r="D1016" s="91"/>
      <c r="E1016" s="92"/>
      <c r="F1016" s="23"/>
      <c r="G1016" s="23"/>
      <c r="H1016" s="23"/>
      <c r="I1016" s="23"/>
      <c r="J1016" s="62"/>
      <c r="K1016" s="62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.75" customHeight="1" x14ac:dyDescent="0.2">
      <c r="A1017" s="4"/>
      <c r="B1017" s="4"/>
      <c r="C1017" s="49"/>
      <c r="D1017" s="91"/>
      <c r="E1017" s="92"/>
      <c r="F1017" s="23"/>
      <c r="G1017" s="23"/>
      <c r="H1017" s="23"/>
      <c r="I1017" s="23"/>
      <c r="J1017" s="62"/>
      <c r="K1017" s="62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5.75" customHeight="1" x14ac:dyDescent="0.2">
      <c r="A1018" s="4"/>
      <c r="B1018" s="4"/>
      <c r="C1018" s="49"/>
      <c r="D1018" s="91"/>
      <c r="E1018" s="92"/>
      <c r="F1018" s="23"/>
      <c r="G1018" s="23"/>
      <c r="H1018" s="23"/>
      <c r="I1018" s="23"/>
      <c r="J1018" s="62"/>
      <c r="K1018" s="62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5.75" customHeight="1" x14ac:dyDescent="0.2">
      <c r="A1019" s="4"/>
      <c r="B1019" s="4"/>
      <c r="C1019" s="49"/>
      <c r="D1019" s="91"/>
      <c r="E1019" s="92"/>
      <c r="F1019" s="23"/>
      <c r="G1019" s="23"/>
      <c r="H1019" s="23"/>
      <c r="I1019" s="23"/>
      <c r="J1019" s="62"/>
      <c r="K1019" s="62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5.75" customHeight="1" x14ac:dyDescent="0.2">
      <c r="A1020" s="4"/>
      <c r="B1020" s="4"/>
      <c r="C1020" s="49"/>
      <c r="D1020" s="91"/>
      <c r="E1020" s="92"/>
      <c r="F1020" s="23"/>
      <c r="G1020" s="23"/>
      <c r="H1020" s="23"/>
      <c r="I1020" s="23"/>
      <c r="J1020" s="62"/>
      <c r="K1020" s="62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.75" customHeight="1" x14ac:dyDescent="0.2">
      <c r="A1021" s="4"/>
      <c r="B1021" s="4"/>
      <c r="C1021" s="49"/>
      <c r="D1021" s="91"/>
      <c r="E1021" s="92"/>
      <c r="F1021" s="23"/>
      <c r="G1021" s="23"/>
      <c r="H1021" s="23"/>
      <c r="I1021" s="23"/>
      <c r="J1021" s="62"/>
      <c r="K1021" s="62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.75" customHeight="1" x14ac:dyDescent="0.2">
      <c r="A1022" s="4"/>
      <c r="B1022" s="4"/>
      <c r="C1022" s="49"/>
      <c r="D1022" s="91"/>
      <c r="E1022" s="92"/>
      <c r="F1022" s="23"/>
      <c r="G1022" s="23"/>
      <c r="H1022" s="23"/>
      <c r="I1022" s="23"/>
      <c r="J1022" s="62"/>
      <c r="K1022" s="62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.75" customHeight="1" x14ac:dyDescent="0.2">
      <c r="A1023" s="4"/>
      <c r="B1023" s="4"/>
      <c r="C1023" s="49"/>
      <c r="D1023" s="91"/>
      <c r="E1023" s="92"/>
      <c r="F1023" s="23"/>
      <c r="G1023" s="23"/>
      <c r="H1023" s="23"/>
      <c r="I1023" s="23"/>
      <c r="J1023" s="62"/>
      <c r="K1023" s="62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5.75" customHeight="1" x14ac:dyDescent="0.2">
      <c r="A1024" s="4"/>
      <c r="B1024" s="4"/>
      <c r="C1024" s="49"/>
      <c r="D1024" s="91"/>
      <c r="E1024" s="92"/>
      <c r="F1024" s="23"/>
      <c r="G1024" s="23"/>
      <c r="H1024" s="23"/>
      <c r="I1024" s="23"/>
      <c r="J1024" s="62"/>
      <c r="K1024" s="62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.75" customHeight="1" x14ac:dyDescent="0.2">
      <c r="A1025" s="4"/>
      <c r="B1025" s="4"/>
      <c r="C1025" s="49"/>
      <c r="D1025" s="91"/>
      <c r="E1025" s="92"/>
      <c r="F1025" s="23"/>
      <c r="G1025" s="23"/>
      <c r="H1025" s="23"/>
      <c r="I1025" s="23"/>
      <c r="J1025" s="62"/>
      <c r="K1025" s="62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.75" customHeight="1" x14ac:dyDescent="0.2">
      <c r="A1026" s="4"/>
      <c r="B1026" s="4"/>
      <c r="C1026" s="49"/>
      <c r="D1026" s="91"/>
      <c r="E1026" s="92"/>
      <c r="F1026" s="23"/>
      <c r="G1026" s="23"/>
      <c r="H1026" s="23"/>
      <c r="I1026" s="23"/>
      <c r="J1026" s="62"/>
      <c r="K1026" s="62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.75" customHeight="1" x14ac:dyDescent="0.2">
      <c r="A1027" s="4"/>
      <c r="B1027" s="4"/>
      <c r="C1027" s="49"/>
      <c r="D1027" s="91"/>
      <c r="E1027" s="92"/>
      <c r="F1027" s="23"/>
      <c r="G1027" s="23"/>
      <c r="H1027" s="23"/>
      <c r="I1027" s="23"/>
      <c r="J1027" s="62"/>
      <c r="K1027" s="62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5.75" customHeight="1" x14ac:dyDescent="0.2">
      <c r="A1028" s="4"/>
      <c r="B1028" s="4"/>
      <c r="C1028" s="49"/>
      <c r="D1028" s="91"/>
      <c r="E1028" s="92"/>
      <c r="F1028" s="23"/>
      <c r="G1028" s="23"/>
      <c r="H1028" s="23"/>
      <c r="I1028" s="23"/>
      <c r="J1028" s="62"/>
      <c r="K1028" s="62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5.75" customHeight="1" x14ac:dyDescent="0.2">
      <c r="A1029" s="4"/>
      <c r="B1029" s="4"/>
      <c r="C1029" s="49"/>
      <c r="D1029" s="91"/>
      <c r="E1029" s="92"/>
      <c r="F1029" s="23"/>
      <c r="G1029" s="23"/>
      <c r="H1029" s="23"/>
      <c r="I1029" s="23"/>
      <c r="J1029" s="62"/>
      <c r="K1029" s="62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5.75" customHeight="1" x14ac:dyDescent="0.2">
      <c r="A1030" s="4"/>
      <c r="B1030" s="4"/>
      <c r="C1030" s="49"/>
      <c r="D1030" s="91"/>
      <c r="E1030" s="92"/>
      <c r="F1030" s="23"/>
      <c r="G1030" s="23"/>
      <c r="H1030" s="23"/>
      <c r="I1030" s="23"/>
      <c r="J1030" s="62"/>
      <c r="K1030" s="62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5.75" customHeight="1" x14ac:dyDescent="0.2">
      <c r="A1031" s="4"/>
      <c r="B1031" s="4"/>
      <c r="C1031" s="49"/>
      <c r="D1031" s="91"/>
      <c r="E1031" s="92"/>
      <c r="F1031" s="23"/>
      <c r="G1031" s="23"/>
      <c r="H1031" s="23"/>
      <c r="I1031" s="23"/>
      <c r="J1031" s="62"/>
      <c r="K1031" s="62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5.75" customHeight="1" x14ac:dyDescent="0.2">
      <c r="A1032" s="4"/>
      <c r="B1032" s="4"/>
      <c r="C1032" s="49"/>
      <c r="D1032" s="91"/>
      <c r="E1032" s="92"/>
      <c r="F1032" s="23"/>
      <c r="G1032" s="23"/>
      <c r="H1032" s="23"/>
      <c r="I1032" s="23"/>
      <c r="J1032" s="62"/>
      <c r="K1032" s="62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.75" customHeight="1" x14ac:dyDescent="0.2">
      <c r="A1033" s="4"/>
      <c r="B1033" s="4"/>
      <c r="C1033" s="49"/>
      <c r="D1033" s="91"/>
      <c r="E1033" s="92"/>
      <c r="F1033" s="23"/>
      <c r="G1033" s="23"/>
      <c r="H1033" s="23"/>
      <c r="I1033" s="23"/>
      <c r="J1033" s="62"/>
      <c r="K1033" s="62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5.75" customHeight="1" x14ac:dyDescent="0.2">
      <c r="A1034" s="4"/>
      <c r="B1034" s="4"/>
      <c r="C1034" s="49"/>
      <c r="D1034" s="91"/>
      <c r="E1034" s="92"/>
      <c r="F1034" s="23"/>
      <c r="G1034" s="23"/>
      <c r="H1034" s="23"/>
      <c r="I1034" s="23"/>
      <c r="J1034" s="62"/>
      <c r="K1034" s="62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.75" customHeight="1" x14ac:dyDescent="0.2">
      <c r="A1035" s="4"/>
      <c r="B1035" s="4"/>
      <c r="C1035" s="49"/>
      <c r="D1035" s="91"/>
      <c r="E1035" s="92"/>
      <c r="F1035" s="23"/>
      <c r="G1035" s="23"/>
      <c r="H1035" s="23"/>
      <c r="I1035" s="23"/>
      <c r="J1035" s="62"/>
      <c r="K1035" s="62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.75" customHeight="1" x14ac:dyDescent="0.2">
      <c r="A1036" s="4"/>
      <c r="B1036" s="4"/>
      <c r="C1036" s="49"/>
      <c r="D1036" s="91"/>
      <c r="E1036" s="92"/>
      <c r="F1036" s="23"/>
      <c r="G1036" s="23"/>
      <c r="H1036" s="23"/>
      <c r="I1036" s="23"/>
      <c r="J1036" s="62"/>
      <c r="K1036" s="62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5.75" customHeight="1" x14ac:dyDescent="0.2">
      <c r="A1037" s="4"/>
      <c r="B1037" s="4"/>
      <c r="C1037" s="49"/>
      <c r="D1037" s="91"/>
      <c r="E1037" s="92"/>
      <c r="F1037" s="23"/>
      <c r="G1037" s="23"/>
      <c r="H1037" s="23"/>
      <c r="I1037" s="23"/>
      <c r="J1037" s="62"/>
      <c r="K1037" s="62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.75" customHeight="1" x14ac:dyDescent="0.2">
      <c r="A1038" s="4"/>
      <c r="B1038" s="4"/>
      <c r="C1038" s="49"/>
      <c r="D1038" s="91"/>
      <c r="E1038" s="92"/>
      <c r="F1038" s="23"/>
      <c r="G1038" s="23"/>
      <c r="H1038" s="23"/>
      <c r="I1038" s="23"/>
      <c r="J1038" s="62"/>
      <c r="K1038" s="62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5.75" customHeight="1" x14ac:dyDescent="0.2">
      <c r="A1039" s="4"/>
      <c r="B1039" s="4"/>
      <c r="C1039" s="49"/>
      <c r="D1039" s="91"/>
      <c r="E1039" s="92"/>
      <c r="F1039" s="23"/>
      <c r="G1039" s="23"/>
      <c r="H1039" s="23"/>
      <c r="I1039" s="23"/>
      <c r="J1039" s="62"/>
      <c r="K1039" s="62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.75" customHeight="1" x14ac:dyDescent="0.2">
      <c r="A1040" s="4"/>
      <c r="B1040" s="4"/>
      <c r="C1040" s="49"/>
      <c r="D1040" s="91"/>
      <c r="E1040" s="92"/>
      <c r="F1040" s="23"/>
      <c r="G1040" s="23"/>
      <c r="H1040" s="23"/>
      <c r="I1040" s="23"/>
      <c r="J1040" s="62"/>
      <c r="K1040" s="62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.75" customHeight="1" x14ac:dyDescent="0.2">
      <c r="A1041" s="4"/>
      <c r="B1041" s="4"/>
      <c r="C1041" s="49"/>
      <c r="D1041" s="91"/>
      <c r="E1041" s="92"/>
      <c r="F1041" s="23"/>
      <c r="G1041" s="23"/>
      <c r="H1041" s="23"/>
      <c r="I1041" s="23"/>
      <c r="J1041" s="62"/>
      <c r="K1041" s="62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.75" customHeight="1" x14ac:dyDescent="0.2">
      <c r="A1042" s="4"/>
      <c r="B1042" s="4"/>
      <c r="C1042" s="49"/>
      <c r="D1042" s="91"/>
      <c r="E1042" s="92"/>
      <c r="F1042" s="23"/>
      <c r="G1042" s="23"/>
      <c r="H1042" s="23"/>
      <c r="I1042" s="23"/>
      <c r="J1042" s="62"/>
      <c r="K1042" s="62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.75" customHeight="1" x14ac:dyDescent="0.2">
      <c r="A1043" s="4"/>
      <c r="B1043" s="4"/>
      <c r="C1043" s="49"/>
      <c r="D1043" s="91"/>
      <c r="E1043" s="92"/>
      <c r="F1043" s="23"/>
      <c r="G1043" s="23"/>
      <c r="H1043" s="23"/>
      <c r="I1043" s="23"/>
      <c r="J1043" s="62"/>
      <c r="K1043" s="62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.75" customHeight="1" x14ac:dyDescent="0.2">
      <c r="A1044" s="4"/>
      <c r="B1044" s="4"/>
      <c r="C1044" s="49"/>
      <c r="D1044" s="91"/>
      <c r="E1044" s="92"/>
      <c r="F1044" s="23"/>
      <c r="G1044" s="23"/>
      <c r="H1044" s="23"/>
      <c r="I1044" s="23"/>
      <c r="J1044" s="62"/>
      <c r="K1044" s="62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.75" customHeight="1" x14ac:dyDescent="0.2">
      <c r="A1045" s="4"/>
      <c r="B1045" s="4"/>
      <c r="C1045" s="49"/>
      <c r="D1045" s="91"/>
      <c r="E1045" s="92"/>
      <c r="F1045" s="23"/>
      <c r="G1045" s="23"/>
      <c r="H1045" s="23"/>
      <c r="I1045" s="23"/>
      <c r="J1045" s="62"/>
      <c r="K1045" s="62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5.75" customHeight="1" x14ac:dyDescent="0.2">
      <c r="A1046" s="4"/>
      <c r="B1046" s="4"/>
      <c r="C1046" s="49"/>
      <c r="D1046" s="91"/>
      <c r="E1046" s="92"/>
      <c r="F1046" s="23"/>
      <c r="G1046" s="23"/>
      <c r="H1046" s="23"/>
      <c r="I1046" s="23"/>
      <c r="J1046" s="62"/>
      <c r="K1046" s="62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5.75" customHeight="1" x14ac:dyDescent="0.2">
      <c r="A1047" s="4"/>
      <c r="B1047" s="4"/>
      <c r="C1047" s="49"/>
      <c r="D1047" s="91"/>
      <c r="E1047" s="92"/>
      <c r="F1047" s="23"/>
      <c r="G1047" s="23"/>
      <c r="H1047" s="23"/>
      <c r="I1047" s="23"/>
      <c r="J1047" s="62"/>
      <c r="K1047" s="62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5.75" customHeight="1" x14ac:dyDescent="0.2">
      <c r="A1048" s="4"/>
      <c r="B1048" s="4"/>
      <c r="C1048" s="49"/>
      <c r="D1048" s="91"/>
      <c r="E1048" s="92"/>
      <c r="F1048" s="23"/>
      <c r="G1048" s="23"/>
      <c r="H1048" s="23"/>
      <c r="I1048" s="23"/>
      <c r="J1048" s="62"/>
      <c r="K1048" s="62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.75" customHeight="1" x14ac:dyDescent="0.2">
      <c r="A1049" s="4"/>
      <c r="B1049" s="4"/>
      <c r="C1049" s="49"/>
      <c r="D1049" s="91"/>
      <c r="E1049" s="92"/>
      <c r="F1049" s="23"/>
      <c r="G1049" s="23"/>
      <c r="H1049" s="23"/>
      <c r="I1049" s="23"/>
      <c r="J1049" s="62"/>
      <c r="K1049" s="62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.75" customHeight="1" x14ac:dyDescent="0.2">
      <c r="A1050" s="4"/>
      <c r="B1050" s="4"/>
      <c r="C1050" s="49"/>
      <c r="D1050" s="91"/>
      <c r="E1050" s="92"/>
      <c r="F1050" s="23"/>
      <c r="G1050" s="23"/>
      <c r="H1050" s="23"/>
      <c r="I1050" s="23"/>
      <c r="J1050" s="62"/>
      <c r="K1050" s="62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.75" customHeight="1" x14ac:dyDescent="0.2">
      <c r="A1051" s="4"/>
      <c r="B1051" s="4"/>
      <c r="C1051" s="49"/>
      <c r="D1051" s="91"/>
      <c r="E1051" s="92"/>
      <c r="F1051" s="23"/>
      <c r="G1051" s="23"/>
      <c r="H1051" s="23"/>
      <c r="I1051" s="23"/>
      <c r="J1051" s="62"/>
      <c r="K1051" s="62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5.75" customHeight="1" x14ac:dyDescent="0.2">
      <c r="A1052" s="4"/>
      <c r="B1052" s="4"/>
      <c r="C1052" s="49"/>
      <c r="D1052" s="91"/>
      <c r="E1052" s="92"/>
      <c r="F1052" s="23"/>
      <c r="G1052" s="23"/>
      <c r="H1052" s="23"/>
      <c r="I1052" s="23"/>
      <c r="J1052" s="62"/>
      <c r="K1052" s="62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5.75" customHeight="1" x14ac:dyDescent="0.2">
      <c r="A1053" s="4"/>
      <c r="B1053" s="4"/>
      <c r="C1053" s="49"/>
      <c r="D1053" s="91"/>
      <c r="E1053" s="92"/>
      <c r="F1053" s="23"/>
      <c r="G1053" s="23"/>
      <c r="H1053" s="23"/>
      <c r="I1053" s="23"/>
      <c r="J1053" s="62"/>
      <c r="K1053" s="62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5.75" customHeight="1" x14ac:dyDescent="0.2">
      <c r="A1054" s="4"/>
      <c r="B1054" s="4"/>
      <c r="C1054" s="49"/>
      <c r="D1054" s="91"/>
      <c r="E1054" s="92"/>
      <c r="F1054" s="23"/>
      <c r="G1054" s="23"/>
      <c r="H1054" s="23"/>
      <c r="I1054" s="23"/>
      <c r="J1054" s="62"/>
      <c r="K1054" s="62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5.75" customHeight="1" x14ac:dyDescent="0.2">
      <c r="A1055" s="4"/>
      <c r="B1055" s="4"/>
      <c r="C1055" s="49"/>
      <c r="D1055" s="91"/>
      <c r="E1055" s="92"/>
      <c r="F1055" s="23"/>
      <c r="G1055" s="23"/>
      <c r="H1055" s="23"/>
      <c r="I1055" s="23"/>
      <c r="J1055" s="62"/>
      <c r="K1055" s="62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5.75" customHeight="1" x14ac:dyDescent="0.2">
      <c r="A1056" s="4"/>
      <c r="B1056" s="4"/>
      <c r="C1056" s="49"/>
      <c r="D1056" s="91"/>
      <c r="E1056" s="92"/>
      <c r="F1056" s="23"/>
      <c r="G1056" s="23"/>
      <c r="H1056" s="23"/>
      <c r="I1056" s="23"/>
      <c r="J1056" s="62"/>
      <c r="K1056" s="62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5.75" customHeight="1" x14ac:dyDescent="0.2">
      <c r="A1057" s="4"/>
      <c r="B1057" s="4"/>
      <c r="C1057" s="49"/>
      <c r="D1057" s="91"/>
      <c r="E1057" s="92"/>
      <c r="F1057" s="23"/>
      <c r="G1057" s="23"/>
      <c r="H1057" s="23"/>
      <c r="I1057" s="23"/>
      <c r="J1057" s="62"/>
      <c r="K1057" s="62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5.75" customHeight="1" x14ac:dyDescent="0.2">
      <c r="A1058" s="4"/>
      <c r="B1058" s="4"/>
      <c r="C1058" s="49"/>
      <c r="D1058" s="91"/>
      <c r="E1058" s="92"/>
      <c r="F1058" s="23"/>
      <c r="G1058" s="23"/>
      <c r="H1058" s="23"/>
      <c r="I1058" s="23"/>
      <c r="J1058" s="62"/>
      <c r="K1058" s="62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5.75" customHeight="1" x14ac:dyDescent="0.2">
      <c r="A1059" s="4"/>
      <c r="B1059" s="4"/>
      <c r="C1059" s="49"/>
      <c r="D1059" s="91"/>
      <c r="E1059" s="92"/>
      <c r="F1059" s="23"/>
      <c r="G1059" s="23"/>
      <c r="H1059" s="23"/>
      <c r="I1059" s="23"/>
      <c r="J1059" s="62"/>
      <c r="K1059" s="62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5.75" customHeight="1" x14ac:dyDescent="0.2">
      <c r="A1060" s="4"/>
      <c r="B1060" s="4"/>
      <c r="C1060" s="49"/>
      <c r="D1060" s="91"/>
      <c r="E1060" s="92"/>
      <c r="F1060" s="23"/>
      <c r="G1060" s="23"/>
      <c r="H1060" s="23"/>
      <c r="I1060" s="23"/>
      <c r="J1060" s="62"/>
      <c r="K1060" s="62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5.75" customHeight="1" x14ac:dyDescent="0.2">
      <c r="A1061" s="4"/>
      <c r="B1061" s="4"/>
      <c r="C1061" s="49"/>
      <c r="D1061" s="91"/>
      <c r="E1061" s="92"/>
      <c r="F1061" s="23"/>
      <c r="G1061" s="23"/>
      <c r="H1061" s="23"/>
      <c r="I1061" s="23"/>
      <c r="J1061" s="62"/>
      <c r="K1061" s="62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5.75" customHeight="1" x14ac:dyDescent="0.2">
      <c r="A1062" s="4"/>
      <c r="B1062" s="4"/>
      <c r="C1062" s="49"/>
      <c r="D1062" s="91"/>
      <c r="E1062" s="92"/>
      <c r="F1062" s="23"/>
      <c r="G1062" s="23"/>
      <c r="H1062" s="23"/>
      <c r="I1062" s="23"/>
      <c r="J1062" s="62"/>
      <c r="K1062" s="62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5.75" customHeight="1" x14ac:dyDescent="0.2">
      <c r="A1063" s="4"/>
      <c r="B1063" s="4"/>
      <c r="C1063" s="49"/>
      <c r="D1063" s="91"/>
      <c r="E1063" s="92"/>
      <c r="F1063" s="23"/>
      <c r="G1063" s="23"/>
      <c r="H1063" s="23"/>
      <c r="I1063" s="23"/>
      <c r="J1063" s="62"/>
      <c r="K1063" s="62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5.75" customHeight="1" x14ac:dyDescent="0.2">
      <c r="A1064" s="4"/>
      <c r="B1064" s="4"/>
      <c r="C1064" s="49"/>
      <c r="D1064" s="91"/>
      <c r="E1064" s="92"/>
      <c r="F1064" s="23"/>
      <c r="G1064" s="23"/>
      <c r="H1064" s="23"/>
      <c r="I1064" s="23"/>
      <c r="J1064" s="62"/>
      <c r="K1064" s="62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5.75" customHeight="1" x14ac:dyDescent="0.2">
      <c r="A1065" s="4"/>
      <c r="B1065" s="4"/>
      <c r="C1065" s="49"/>
      <c r="D1065" s="91"/>
      <c r="E1065" s="92"/>
      <c r="F1065" s="23"/>
      <c r="G1065" s="23"/>
      <c r="H1065" s="23"/>
      <c r="I1065" s="23"/>
      <c r="J1065" s="62"/>
      <c r="K1065" s="62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5.75" customHeight="1" x14ac:dyDescent="0.2">
      <c r="A1066" s="4"/>
      <c r="B1066" s="4"/>
      <c r="C1066" s="49"/>
      <c r="D1066" s="91"/>
      <c r="E1066" s="92"/>
      <c r="F1066" s="23"/>
      <c r="G1066" s="23"/>
      <c r="H1066" s="23"/>
      <c r="I1066" s="23"/>
      <c r="J1066" s="62"/>
      <c r="K1066" s="62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5.75" customHeight="1" x14ac:dyDescent="0.2">
      <c r="A1067" s="4"/>
      <c r="B1067" s="4"/>
      <c r="C1067" s="49"/>
      <c r="D1067" s="91"/>
      <c r="E1067" s="92"/>
      <c r="F1067" s="23"/>
      <c r="G1067" s="23"/>
      <c r="H1067" s="23"/>
      <c r="I1067" s="23"/>
      <c r="J1067" s="62"/>
      <c r="K1067" s="62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5.75" customHeight="1" x14ac:dyDescent="0.2">
      <c r="A1068" s="4"/>
      <c r="B1068" s="4"/>
      <c r="C1068" s="49"/>
      <c r="D1068" s="91"/>
      <c r="E1068" s="92"/>
      <c r="F1068" s="23"/>
      <c r="G1068" s="23"/>
      <c r="H1068" s="23"/>
      <c r="I1068" s="23"/>
      <c r="J1068" s="62"/>
      <c r="K1068" s="62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5.75" customHeight="1" x14ac:dyDescent="0.2">
      <c r="A1069" s="4"/>
      <c r="B1069" s="4"/>
      <c r="C1069" s="49"/>
      <c r="D1069" s="91"/>
      <c r="E1069" s="92"/>
      <c r="F1069" s="23"/>
      <c r="G1069" s="23"/>
      <c r="H1069" s="23"/>
      <c r="I1069" s="23"/>
      <c r="J1069" s="62"/>
      <c r="K1069" s="62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5.75" customHeight="1" x14ac:dyDescent="0.2">
      <c r="A1070" s="4"/>
      <c r="B1070" s="4"/>
      <c r="C1070" s="49"/>
      <c r="D1070" s="91"/>
      <c r="E1070" s="92"/>
      <c r="F1070" s="23"/>
      <c r="G1070" s="23"/>
      <c r="H1070" s="23"/>
      <c r="I1070" s="23"/>
      <c r="J1070" s="62"/>
      <c r="K1070" s="62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5.75" customHeight="1" x14ac:dyDescent="0.2">
      <c r="A1071" s="4"/>
      <c r="B1071" s="4"/>
      <c r="C1071" s="49"/>
      <c r="D1071" s="91"/>
      <c r="E1071" s="92"/>
      <c r="F1071" s="23"/>
      <c r="G1071" s="23"/>
      <c r="H1071" s="23"/>
      <c r="I1071" s="23"/>
      <c r="J1071" s="62"/>
      <c r="K1071" s="62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5.75" customHeight="1" x14ac:dyDescent="0.2">
      <c r="A1072" s="4"/>
      <c r="B1072" s="4"/>
      <c r="C1072" s="49"/>
      <c r="D1072" s="91"/>
      <c r="E1072" s="92"/>
      <c r="F1072" s="23"/>
      <c r="G1072" s="23"/>
      <c r="H1072" s="23"/>
      <c r="I1072" s="23"/>
      <c r="J1072" s="62"/>
      <c r="K1072" s="62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5.75" customHeight="1" x14ac:dyDescent="0.2">
      <c r="A1073" s="4"/>
      <c r="B1073" s="4"/>
      <c r="C1073" s="49"/>
      <c r="D1073" s="91"/>
      <c r="E1073" s="92"/>
      <c r="F1073" s="23"/>
      <c r="G1073" s="23"/>
      <c r="H1073" s="23"/>
      <c r="I1073" s="23"/>
      <c r="J1073" s="62"/>
      <c r="K1073" s="62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5.75" customHeight="1" x14ac:dyDescent="0.2">
      <c r="A1074" s="4"/>
      <c r="B1074" s="4"/>
      <c r="C1074" s="49"/>
      <c r="D1074" s="91"/>
      <c r="E1074" s="92"/>
      <c r="F1074" s="23"/>
      <c r="G1074" s="23"/>
      <c r="H1074" s="23"/>
      <c r="I1074" s="23"/>
      <c r="J1074" s="62"/>
      <c r="K1074" s="62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5.75" customHeight="1" x14ac:dyDescent="0.2">
      <c r="A1075" s="4"/>
      <c r="B1075" s="4"/>
      <c r="C1075" s="49"/>
      <c r="D1075" s="91"/>
      <c r="E1075" s="92"/>
      <c r="F1075" s="23"/>
      <c r="G1075" s="23"/>
      <c r="H1075" s="23"/>
      <c r="I1075" s="23"/>
      <c r="J1075" s="62"/>
      <c r="K1075" s="62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5.75" customHeight="1" x14ac:dyDescent="0.2">
      <c r="A1076" s="4"/>
      <c r="B1076" s="4"/>
      <c r="C1076" s="49"/>
      <c r="D1076" s="91"/>
      <c r="E1076" s="92"/>
      <c r="F1076" s="23"/>
      <c r="G1076" s="23"/>
      <c r="H1076" s="23"/>
      <c r="I1076" s="23"/>
      <c r="J1076" s="62"/>
      <c r="K1076" s="62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5.75" customHeight="1" x14ac:dyDescent="0.2">
      <c r="A1077" s="4"/>
      <c r="B1077" s="4"/>
      <c r="C1077" s="49"/>
      <c r="D1077" s="91"/>
      <c r="E1077" s="92"/>
      <c r="F1077" s="23"/>
      <c r="G1077" s="23"/>
      <c r="H1077" s="23"/>
      <c r="I1077" s="23"/>
      <c r="J1077" s="62"/>
      <c r="K1077" s="62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5.75" customHeight="1" x14ac:dyDescent="0.2">
      <c r="A1078" s="4"/>
      <c r="B1078" s="4"/>
      <c r="C1078" s="49"/>
      <c r="D1078" s="91"/>
      <c r="E1078" s="92"/>
      <c r="F1078" s="23"/>
      <c r="G1078" s="23"/>
      <c r="H1078" s="23"/>
      <c r="I1078" s="23"/>
      <c r="J1078" s="62"/>
      <c r="K1078" s="62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5.75" customHeight="1" x14ac:dyDescent="0.2">
      <c r="A1079" s="4"/>
      <c r="B1079" s="4"/>
      <c r="C1079" s="49"/>
      <c r="D1079" s="91"/>
      <c r="E1079" s="92"/>
      <c r="F1079" s="23"/>
      <c r="G1079" s="23"/>
      <c r="H1079" s="23"/>
      <c r="I1079" s="23"/>
      <c r="J1079" s="62"/>
      <c r="K1079" s="62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5.75" customHeight="1" x14ac:dyDescent="0.2">
      <c r="A1080" s="4"/>
      <c r="B1080" s="4"/>
      <c r="C1080" s="49"/>
      <c r="D1080" s="91"/>
      <c r="E1080" s="92"/>
      <c r="F1080" s="23"/>
      <c r="G1080" s="23"/>
      <c r="H1080" s="23"/>
      <c r="I1080" s="23"/>
      <c r="J1080" s="62"/>
      <c r="K1080" s="62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5.75" customHeight="1" x14ac:dyDescent="0.2">
      <c r="A1081" s="4"/>
      <c r="B1081" s="4"/>
      <c r="C1081" s="49"/>
      <c r="D1081" s="91"/>
      <c r="E1081" s="92"/>
      <c r="F1081" s="23"/>
      <c r="G1081" s="23"/>
      <c r="H1081" s="23"/>
      <c r="I1081" s="23"/>
      <c r="J1081" s="62"/>
      <c r="K1081" s="62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5.75" customHeight="1" x14ac:dyDescent="0.2">
      <c r="A1082" s="4"/>
      <c r="B1082" s="4"/>
      <c r="C1082" s="49"/>
      <c r="D1082" s="91"/>
      <c r="E1082" s="92"/>
      <c r="F1082" s="23"/>
      <c r="G1082" s="23"/>
      <c r="H1082" s="23"/>
      <c r="I1082" s="23"/>
      <c r="J1082" s="62"/>
      <c r="K1082" s="62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5.75" customHeight="1" x14ac:dyDescent="0.2">
      <c r="A1083" s="4"/>
      <c r="B1083" s="4"/>
      <c r="C1083" s="49"/>
      <c r="D1083" s="91"/>
      <c r="E1083" s="92"/>
      <c r="F1083" s="23"/>
      <c r="G1083" s="23"/>
      <c r="H1083" s="23"/>
      <c r="I1083" s="23"/>
      <c r="J1083" s="62"/>
      <c r="K1083" s="62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5.75" customHeight="1" x14ac:dyDescent="0.2">
      <c r="A1084" s="4"/>
      <c r="B1084" s="4"/>
      <c r="C1084" s="49"/>
      <c r="D1084" s="91"/>
      <c r="E1084" s="92"/>
      <c r="F1084" s="23"/>
      <c r="G1084" s="23"/>
      <c r="H1084" s="23"/>
      <c r="I1084" s="23"/>
      <c r="J1084" s="62"/>
      <c r="K1084" s="62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5.75" customHeight="1" x14ac:dyDescent="0.2">
      <c r="A1085" s="4"/>
      <c r="B1085" s="4"/>
      <c r="C1085" s="49"/>
      <c r="D1085" s="91"/>
      <c r="E1085" s="92"/>
      <c r="F1085" s="23"/>
      <c r="G1085" s="23"/>
      <c r="H1085" s="23"/>
      <c r="I1085" s="23"/>
      <c r="J1085" s="62"/>
      <c r="K1085" s="62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5.75" customHeight="1" x14ac:dyDescent="0.2">
      <c r="A1086" s="4"/>
      <c r="B1086" s="4"/>
      <c r="C1086" s="49"/>
      <c r="D1086" s="91"/>
      <c r="E1086" s="92"/>
      <c r="F1086" s="23"/>
      <c r="G1086" s="23"/>
      <c r="H1086" s="23"/>
      <c r="I1086" s="23"/>
      <c r="J1086" s="62"/>
      <c r="K1086" s="62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5.75" customHeight="1" x14ac:dyDescent="0.2">
      <c r="A1087" s="4"/>
      <c r="B1087" s="4"/>
      <c r="C1087" s="49"/>
      <c r="D1087" s="91"/>
      <c r="E1087" s="92"/>
      <c r="F1087" s="23"/>
      <c r="G1087" s="23"/>
      <c r="H1087" s="23"/>
      <c r="I1087" s="23"/>
      <c r="J1087" s="62"/>
      <c r="K1087" s="62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5.75" customHeight="1" x14ac:dyDescent="0.2">
      <c r="A1088" s="4"/>
      <c r="B1088" s="4"/>
      <c r="C1088" s="49"/>
      <c r="D1088" s="91"/>
      <c r="E1088" s="92"/>
      <c r="F1088" s="23"/>
      <c r="G1088" s="23"/>
      <c r="H1088" s="23"/>
      <c r="I1088" s="23"/>
      <c r="J1088" s="62"/>
      <c r="K1088" s="62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5.75" customHeight="1" x14ac:dyDescent="0.2">
      <c r="A1089" s="4"/>
      <c r="B1089" s="4"/>
      <c r="C1089" s="49"/>
      <c r="D1089" s="91"/>
      <c r="E1089" s="92"/>
      <c r="F1089" s="23"/>
      <c r="G1089" s="23"/>
      <c r="H1089" s="23"/>
      <c r="I1089" s="23"/>
      <c r="J1089" s="62"/>
      <c r="K1089" s="62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5.75" customHeight="1" x14ac:dyDescent="0.2">
      <c r="A1090" s="4"/>
      <c r="B1090" s="4"/>
      <c r="C1090" s="49"/>
      <c r="D1090" s="91"/>
      <c r="E1090" s="92"/>
      <c r="F1090" s="23"/>
      <c r="G1090" s="23"/>
      <c r="H1090" s="23"/>
      <c r="I1090" s="23"/>
      <c r="J1090" s="62"/>
      <c r="K1090" s="62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5.75" customHeight="1" x14ac:dyDescent="0.2">
      <c r="A1091" s="4"/>
      <c r="B1091" s="4"/>
      <c r="C1091" s="49"/>
      <c r="D1091" s="91"/>
      <c r="E1091" s="92"/>
      <c r="F1091" s="23"/>
      <c r="G1091" s="23"/>
      <c r="H1091" s="23"/>
      <c r="I1091" s="23"/>
      <c r="J1091" s="62"/>
      <c r="K1091" s="62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5.75" customHeight="1" x14ac:dyDescent="0.2">
      <c r="A1092" s="4"/>
      <c r="B1092" s="4"/>
      <c r="C1092" s="49"/>
      <c r="D1092" s="91"/>
      <c r="E1092" s="92"/>
      <c r="F1092" s="23"/>
      <c r="G1092" s="23"/>
      <c r="H1092" s="23"/>
      <c r="I1092" s="23"/>
      <c r="J1092" s="62"/>
      <c r="K1092" s="62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5.75" customHeight="1" x14ac:dyDescent="0.2">
      <c r="A1093" s="4"/>
      <c r="B1093" s="4"/>
      <c r="C1093" s="49"/>
      <c r="D1093" s="91"/>
      <c r="E1093" s="92"/>
      <c r="F1093" s="23"/>
      <c r="G1093" s="23"/>
      <c r="H1093" s="23"/>
      <c r="I1093" s="23"/>
      <c r="J1093" s="62"/>
      <c r="K1093" s="62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5.75" customHeight="1" x14ac:dyDescent="0.2">
      <c r="A1094" s="4"/>
      <c r="B1094" s="4"/>
      <c r="C1094" s="49"/>
      <c r="D1094" s="91"/>
      <c r="E1094" s="92"/>
      <c r="F1094" s="23"/>
      <c r="G1094" s="23"/>
      <c r="H1094" s="23"/>
      <c r="I1094" s="23"/>
      <c r="J1094" s="62"/>
      <c r="K1094" s="62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5.75" customHeight="1" x14ac:dyDescent="0.2">
      <c r="A1095" s="4"/>
      <c r="B1095" s="4"/>
      <c r="C1095" s="49"/>
      <c r="D1095" s="91"/>
      <c r="E1095" s="92"/>
      <c r="F1095" s="23"/>
      <c r="G1095" s="23"/>
      <c r="H1095" s="23"/>
      <c r="I1095" s="23"/>
      <c r="J1095" s="62"/>
      <c r="K1095" s="62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5.75" customHeight="1" x14ac:dyDescent="0.2">
      <c r="A1096" s="4"/>
      <c r="B1096" s="4"/>
      <c r="C1096" s="49"/>
      <c r="D1096" s="91"/>
      <c r="E1096" s="92"/>
      <c r="F1096" s="23"/>
      <c r="G1096" s="23"/>
      <c r="H1096" s="23"/>
      <c r="I1096" s="23"/>
      <c r="J1096" s="62"/>
      <c r="K1096" s="62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5.75" customHeight="1" x14ac:dyDescent="0.2">
      <c r="A1097" s="4"/>
      <c r="B1097" s="4"/>
      <c r="C1097" s="49"/>
      <c r="D1097" s="91"/>
      <c r="E1097" s="92"/>
      <c r="F1097" s="23"/>
      <c r="G1097" s="23"/>
      <c r="H1097" s="23"/>
      <c r="I1097" s="23"/>
      <c r="J1097" s="62"/>
      <c r="K1097" s="62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5.75" customHeight="1" x14ac:dyDescent="0.2">
      <c r="A1098" s="4"/>
      <c r="B1098" s="4"/>
      <c r="C1098" s="49"/>
      <c r="D1098" s="91"/>
      <c r="E1098" s="92"/>
      <c r="F1098" s="23"/>
      <c r="G1098" s="23"/>
      <c r="H1098" s="23"/>
      <c r="I1098" s="23"/>
      <c r="J1098" s="62"/>
      <c r="K1098" s="62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5.75" customHeight="1" x14ac:dyDescent="0.2">
      <c r="A1099" s="4"/>
      <c r="B1099" s="4"/>
      <c r="C1099" s="49"/>
      <c r="D1099" s="91"/>
      <c r="E1099" s="92"/>
      <c r="F1099" s="23"/>
      <c r="G1099" s="23"/>
      <c r="H1099" s="23"/>
      <c r="I1099" s="23"/>
      <c r="J1099" s="62"/>
      <c r="K1099" s="62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5.75" customHeight="1" x14ac:dyDescent="0.2">
      <c r="A1100" s="4"/>
      <c r="B1100" s="4"/>
      <c r="C1100" s="49"/>
      <c r="D1100" s="91"/>
      <c r="E1100" s="92"/>
      <c r="F1100" s="23"/>
      <c r="G1100" s="23"/>
      <c r="H1100" s="23"/>
      <c r="I1100" s="23"/>
      <c r="J1100" s="62"/>
      <c r="K1100" s="62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5.75" customHeight="1" x14ac:dyDescent="0.2">
      <c r="A1101" s="4"/>
      <c r="B1101" s="4"/>
      <c r="C1101" s="49"/>
      <c r="D1101" s="91"/>
      <c r="E1101" s="92"/>
      <c r="F1101" s="23"/>
      <c r="G1101" s="23"/>
      <c r="H1101" s="23"/>
      <c r="I1101" s="23"/>
      <c r="J1101" s="62"/>
      <c r="K1101" s="62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5.75" customHeight="1" x14ac:dyDescent="0.2">
      <c r="A1102" s="4"/>
      <c r="B1102" s="4"/>
      <c r="C1102" s="49"/>
      <c r="D1102" s="91"/>
      <c r="E1102" s="92"/>
      <c r="F1102" s="23"/>
      <c r="G1102" s="23"/>
      <c r="H1102" s="23"/>
      <c r="I1102" s="23"/>
      <c r="J1102" s="62"/>
      <c r="K1102" s="62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5.75" customHeight="1" x14ac:dyDescent="0.2">
      <c r="A1103" s="4"/>
      <c r="B1103" s="4"/>
      <c r="C1103" s="49"/>
      <c r="D1103" s="91"/>
      <c r="E1103" s="92"/>
      <c r="F1103" s="23"/>
      <c r="G1103" s="23"/>
      <c r="H1103" s="23"/>
      <c r="I1103" s="23"/>
      <c r="J1103" s="62"/>
      <c r="K1103" s="62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5.75" customHeight="1" x14ac:dyDescent="0.2">
      <c r="A1104" s="4"/>
      <c r="B1104" s="4"/>
      <c r="C1104" s="49"/>
      <c r="D1104" s="91"/>
      <c r="E1104" s="92"/>
      <c r="F1104" s="23"/>
      <c r="G1104" s="23"/>
      <c r="H1104" s="23"/>
      <c r="I1104" s="23"/>
      <c r="J1104" s="62"/>
      <c r="K1104" s="62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5.75" customHeight="1" x14ac:dyDescent="0.2">
      <c r="A1105" s="4"/>
      <c r="B1105" s="4"/>
      <c r="C1105" s="49"/>
      <c r="D1105" s="91"/>
      <c r="E1105" s="92"/>
      <c r="F1105" s="23"/>
      <c r="G1105" s="23"/>
      <c r="H1105" s="23"/>
      <c r="I1105" s="23"/>
      <c r="J1105" s="62"/>
      <c r="K1105" s="62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5.75" customHeight="1" x14ac:dyDescent="0.2">
      <c r="A1106" s="4"/>
      <c r="B1106" s="4"/>
      <c r="C1106" s="49"/>
      <c r="D1106" s="91"/>
      <c r="E1106" s="92"/>
      <c r="F1106" s="23"/>
      <c r="G1106" s="23"/>
      <c r="H1106" s="23"/>
      <c r="I1106" s="23"/>
      <c r="J1106" s="62"/>
      <c r="K1106" s="62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5.75" customHeight="1" x14ac:dyDescent="0.2">
      <c r="A1107" s="4"/>
      <c r="B1107" s="4"/>
      <c r="C1107" s="49"/>
      <c r="D1107" s="91"/>
      <c r="E1107" s="92"/>
      <c r="F1107" s="23"/>
      <c r="G1107" s="23"/>
      <c r="H1107" s="23"/>
      <c r="I1107" s="23"/>
      <c r="J1107" s="62"/>
      <c r="K1107" s="62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5.75" customHeight="1" x14ac:dyDescent="0.2">
      <c r="A1108" s="4"/>
      <c r="B1108" s="4"/>
      <c r="C1108" s="49"/>
      <c r="D1108" s="91"/>
      <c r="E1108" s="92"/>
      <c r="F1108" s="23"/>
      <c r="G1108" s="23"/>
      <c r="H1108" s="23"/>
      <c r="I1108" s="23"/>
      <c r="J1108" s="62"/>
      <c r="K1108" s="62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5.75" customHeight="1" x14ac:dyDescent="0.2">
      <c r="A1109" s="4"/>
      <c r="B1109" s="4"/>
      <c r="C1109" s="49"/>
      <c r="D1109" s="91"/>
      <c r="E1109" s="92"/>
      <c r="F1109" s="23"/>
      <c r="G1109" s="23"/>
      <c r="H1109" s="23"/>
      <c r="I1109" s="23"/>
      <c r="J1109" s="62"/>
      <c r="K1109" s="62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5.75" customHeight="1" x14ac:dyDescent="0.2">
      <c r="A1110" s="4"/>
      <c r="B1110" s="4"/>
      <c r="C1110" s="49"/>
      <c r="D1110" s="91"/>
      <c r="E1110" s="92"/>
      <c r="F1110" s="23"/>
      <c r="G1110" s="23"/>
      <c r="H1110" s="23"/>
      <c r="I1110" s="23"/>
      <c r="J1110" s="62"/>
      <c r="K1110" s="62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5.75" customHeight="1" x14ac:dyDescent="0.2">
      <c r="A1111" s="4"/>
      <c r="B1111" s="4"/>
      <c r="C1111" s="49"/>
      <c r="D1111" s="91"/>
      <c r="E1111" s="92"/>
      <c r="F1111" s="23"/>
      <c r="G1111" s="23"/>
      <c r="H1111" s="23"/>
      <c r="I1111" s="23"/>
      <c r="J1111" s="62"/>
      <c r="K1111" s="62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5.75" customHeight="1" x14ac:dyDescent="0.2">
      <c r="A1112" s="4"/>
      <c r="B1112" s="4"/>
      <c r="C1112" s="49"/>
      <c r="D1112" s="91"/>
      <c r="E1112" s="92"/>
      <c r="F1112" s="23"/>
      <c r="G1112" s="23"/>
      <c r="H1112" s="23"/>
      <c r="I1112" s="23"/>
      <c r="J1112" s="62"/>
      <c r="K1112" s="62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5.75" customHeight="1" x14ac:dyDescent="0.2">
      <c r="A1113" s="4"/>
      <c r="B1113" s="4"/>
      <c r="C1113" s="49"/>
      <c r="D1113" s="91"/>
      <c r="E1113" s="92"/>
      <c r="F1113" s="23"/>
      <c r="G1113" s="23"/>
      <c r="H1113" s="23"/>
      <c r="I1113" s="23"/>
      <c r="J1113" s="62"/>
      <c r="K1113" s="62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5.75" customHeight="1" x14ac:dyDescent="0.2">
      <c r="A1114" s="4"/>
      <c r="B1114" s="4"/>
      <c r="C1114" s="49"/>
      <c r="D1114" s="91"/>
      <c r="E1114" s="92"/>
      <c r="F1114" s="23"/>
      <c r="G1114" s="23"/>
      <c r="H1114" s="23"/>
      <c r="I1114" s="23"/>
      <c r="J1114" s="62"/>
      <c r="K1114" s="62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5.75" customHeight="1" x14ac:dyDescent="0.2">
      <c r="A1115" s="4"/>
      <c r="B1115" s="4"/>
      <c r="C1115" s="49"/>
      <c r="D1115" s="91"/>
      <c r="E1115" s="92"/>
      <c r="F1115" s="23"/>
      <c r="G1115" s="23"/>
      <c r="H1115" s="23"/>
      <c r="I1115" s="23"/>
      <c r="J1115" s="62"/>
      <c r="K1115" s="62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15.75" customHeight="1" x14ac:dyDescent="0.2">
      <c r="A1116" s="4"/>
      <c r="B1116" s="4"/>
      <c r="C1116" s="49"/>
      <c r="D1116" s="91"/>
      <c r="E1116" s="92"/>
      <c r="F1116" s="23"/>
      <c r="G1116" s="23"/>
      <c r="H1116" s="23"/>
      <c r="I1116" s="23"/>
      <c r="J1116" s="62"/>
      <c r="K1116" s="62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5.75" customHeight="1" x14ac:dyDescent="0.2">
      <c r="A1117" s="4"/>
      <c r="B1117" s="4"/>
      <c r="C1117" s="49"/>
      <c r="D1117" s="91"/>
      <c r="E1117" s="92"/>
      <c r="F1117" s="23"/>
      <c r="G1117" s="23"/>
      <c r="H1117" s="23"/>
      <c r="I1117" s="23"/>
      <c r="J1117" s="62"/>
      <c r="K1117" s="62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5.75" customHeight="1" x14ac:dyDescent="0.2">
      <c r="A1118" s="4"/>
      <c r="B1118" s="4"/>
      <c r="C1118" s="49"/>
      <c r="D1118" s="91"/>
      <c r="E1118" s="92"/>
      <c r="F1118" s="23"/>
      <c r="G1118" s="23"/>
      <c r="H1118" s="23"/>
      <c r="I1118" s="23"/>
      <c r="J1118" s="62"/>
      <c r="K1118" s="62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5.75" customHeight="1" x14ac:dyDescent="0.2">
      <c r="A1119" s="4"/>
      <c r="B1119" s="4"/>
      <c r="C1119" s="49"/>
      <c r="D1119" s="91"/>
      <c r="E1119" s="92"/>
      <c r="F1119" s="23"/>
      <c r="G1119" s="23"/>
      <c r="H1119" s="23"/>
      <c r="I1119" s="23"/>
      <c r="J1119" s="62"/>
      <c r="K1119" s="62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5.75" customHeight="1" x14ac:dyDescent="0.2">
      <c r="A1120" s="4"/>
      <c r="B1120" s="4"/>
      <c r="C1120" s="49"/>
      <c r="D1120" s="91"/>
      <c r="E1120" s="92"/>
      <c r="F1120" s="23"/>
      <c r="G1120" s="23"/>
      <c r="H1120" s="23"/>
      <c r="I1120" s="23"/>
      <c r="J1120" s="62"/>
      <c r="K1120" s="62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5.75" customHeight="1" x14ac:dyDescent="0.2">
      <c r="A1121" s="4"/>
      <c r="B1121" s="4"/>
      <c r="C1121" s="49"/>
      <c r="D1121" s="91"/>
      <c r="E1121" s="92"/>
      <c r="F1121" s="23"/>
      <c r="G1121" s="23"/>
      <c r="H1121" s="23"/>
      <c r="I1121" s="23"/>
      <c r="J1121" s="62"/>
      <c r="K1121" s="62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5.75" customHeight="1" x14ac:dyDescent="0.2">
      <c r="A1122" s="4"/>
      <c r="B1122" s="4"/>
      <c r="C1122" s="49"/>
      <c r="D1122" s="91"/>
      <c r="E1122" s="92"/>
      <c r="F1122" s="23"/>
      <c r="G1122" s="23"/>
      <c r="H1122" s="23"/>
      <c r="I1122" s="23"/>
      <c r="J1122" s="62"/>
      <c r="K1122" s="62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5.75" customHeight="1" x14ac:dyDescent="0.2">
      <c r="A1123" s="4"/>
      <c r="B1123" s="4"/>
      <c r="C1123" s="49"/>
      <c r="D1123" s="91"/>
      <c r="E1123" s="92"/>
      <c r="F1123" s="23"/>
      <c r="G1123" s="23"/>
      <c r="H1123" s="23"/>
      <c r="I1123" s="23"/>
      <c r="J1123" s="62"/>
      <c r="K1123" s="62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5.75" customHeight="1" x14ac:dyDescent="0.2">
      <c r="A1124" s="4"/>
      <c r="B1124" s="4"/>
      <c r="C1124" s="49"/>
      <c r="D1124" s="91"/>
      <c r="E1124" s="92"/>
      <c r="F1124" s="23"/>
      <c r="G1124" s="23"/>
      <c r="H1124" s="23"/>
      <c r="I1124" s="23"/>
      <c r="J1124" s="62"/>
      <c r="K1124" s="62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5.75" customHeight="1" x14ac:dyDescent="0.2">
      <c r="A1125" s="4"/>
      <c r="B1125" s="4"/>
      <c r="C1125" s="49"/>
      <c r="D1125" s="91"/>
      <c r="E1125" s="92"/>
      <c r="F1125" s="23"/>
      <c r="G1125" s="23"/>
      <c r="H1125" s="23"/>
      <c r="I1125" s="23"/>
      <c r="J1125" s="62"/>
      <c r="K1125" s="62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5.75" customHeight="1" x14ac:dyDescent="0.2">
      <c r="A1126" s="4"/>
      <c r="B1126" s="4"/>
      <c r="C1126" s="49"/>
      <c r="D1126" s="91"/>
      <c r="E1126" s="92"/>
      <c r="F1126" s="23"/>
      <c r="G1126" s="23"/>
      <c r="H1126" s="23"/>
      <c r="I1126" s="23"/>
      <c r="J1126" s="62"/>
      <c r="K1126" s="62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5.75" customHeight="1" x14ac:dyDescent="0.2">
      <c r="A1127" s="4"/>
      <c r="B1127" s="4"/>
      <c r="C1127" s="49"/>
      <c r="D1127" s="91"/>
      <c r="E1127" s="92"/>
      <c r="F1127" s="23"/>
      <c r="G1127" s="23"/>
      <c r="H1127" s="23"/>
      <c r="I1127" s="23"/>
      <c r="J1127" s="62"/>
      <c r="K1127" s="62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5.75" customHeight="1" x14ac:dyDescent="0.2">
      <c r="A1128" s="4"/>
      <c r="B1128" s="4"/>
      <c r="C1128" s="49"/>
      <c r="D1128" s="91"/>
      <c r="E1128" s="92"/>
      <c r="F1128" s="23"/>
      <c r="G1128" s="23"/>
      <c r="H1128" s="23"/>
      <c r="I1128" s="23"/>
      <c r="J1128" s="62"/>
      <c r="K1128" s="62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5.75" customHeight="1" x14ac:dyDescent="0.2">
      <c r="A1129" s="4"/>
      <c r="B1129" s="4"/>
      <c r="C1129" s="49"/>
      <c r="D1129" s="91"/>
      <c r="E1129" s="92"/>
      <c r="F1129" s="23"/>
      <c r="G1129" s="23"/>
      <c r="H1129" s="23"/>
      <c r="I1129" s="23"/>
      <c r="J1129" s="62"/>
      <c r="K1129" s="62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5.75" customHeight="1" x14ac:dyDescent="0.2">
      <c r="A1130" s="4"/>
      <c r="B1130" s="4"/>
      <c r="C1130" s="49"/>
      <c r="D1130" s="91"/>
      <c r="E1130" s="92"/>
      <c r="F1130" s="23"/>
      <c r="G1130" s="23"/>
      <c r="H1130" s="23"/>
      <c r="I1130" s="23"/>
      <c r="J1130" s="62"/>
      <c r="K1130" s="62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5.75" customHeight="1" x14ac:dyDescent="0.2">
      <c r="A1131" s="4"/>
      <c r="B1131" s="4"/>
      <c r="C1131" s="49"/>
      <c r="D1131" s="91"/>
      <c r="E1131" s="92"/>
      <c r="F1131" s="23"/>
      <c r="G1131" s="23"/>
      <c r="H1131" s="23"/>
      <c r="I1131" s="23"/>
      <c r="J1131" s="62"/>
      <c r="K1131" s="62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5.75" customHeight="1" x14ac:dyDescent="0.2">
      <c r="A1132" s="4"/>
      <c r="B1132" s="4"/>
      <c r="C1132" s="49"/>
      <c r="D1132" s="91"/>
      <c r="E1132" s="92"/>
      <c r="F1132" s="23"/>
      <c r="G1132" s="23"/>
      <c r="H1132" s="23"/>
      <c r="I1132" s="23"/>
      <c r="J1132" s="62"/>
      <c r="K1132" s="62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5.75" customHeight="1" x14ac:dyDescent="0.2">
      <c r="A1133" s="4"/>
      <c r="B1133" s="4"/>
      <c r="C1133" s="49"/>
      <c r="D1133" s="91"/>
      <c r="E1133" s="92"/>
      <c r="F1133" s="23"/>
      <c r="G1133" s="23"/>
      <c r="H1133" s="23"/>
      <c r="I1133" s="23"/>
      <c r="J1133" s="62"/>
      <c r="K1133" s="62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ht="15.75" customHeight="1" x14ac:dyDescent="0.2">
      <c r="A1134" s="4"/>
      <c r="B1134" s="4"/>
      <c r="C1134" s="49"/>
      <c r="D1134" s="91"/>
      <c r="E1134" s="92"/>
      <c r="F1134" s="23"/>
      <c r="G1134" s="23"/>
      <c r="H1134" s="23"/>
      <c r="I1134" s="23"/>
      <c r="J1134" s="62"/>
      <c r="K1134" s="62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ht="15.75" customHeight="1" x14ac:dyDescent="0.2">
      <c r="A1135" s="4"/>
      <c r="B1135" s="4"/>
      <c r="C1135" s="49"/>
      <c r="D1135" s="91"/>
      <c r="E1135" s="92"/>
      <c r="F1135" s="23"/>
      <c r="G1135" s="23"/>
      <c r="H1135" s="23"/>
      <c r="I1135" s="23"/>
      <c r="J1135" s="62"/>
      <c r="K1135" s="62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ht="15.75" customHeight="1" x14ac:dyDescent="0.2">
      <c r="A1136" s="4"/>
      <c r="B1136" s="4"/>
      <c r="C1136" s="49"/>
      <c r="D1136" s="91"/>
      <c r="E1136" s="92"/>
      <c r="F1136" s="23"/>
      <c r="G1136" s="23"/>
      <c r="H1136" s="23"/>
      <c r="I1136" s="23"/>
      <c r="J1136" s="62"/>
      <c r="K1136" s="62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ht="15.75" customHeight="1" x14ac:dyDescent="0.2">
      <c r="A1137" s="4"/>
      <c r="B1137" s="4"/>
      <c r="C1137" s="49"/>
      <c r="D1137" s="91"/>
      <c r="E1137" s="92"/>
      <c r="F1137" s="23"/>
      <c r="G1137" s="23"/>
      <c r="H1137" s="23"/>
      <c r="I1137" s="23"/>
      <c r="J1137" s="62"/>
      <c r="K1137" s="62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ht="15.75" customHeight="1" x14ac:dyDescent="0.2">
      <c r="A1138" s="4"/>
      <c r="B1138" s="4"/>
      <c r="C1138" s="49"/>
      <c r="D1138" s="91"/>
      <c r="E1138" s="92"/>
      <c r="F1138" s="23"/>
      <c r="G1138" s="23"/>
      <c r="H1138" s="23"/>
      <c r="I1138" s="23"/>
      <c r="J1138" s="62"/>
      <c r="K1138" s="62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ht="15.75" customHeight="1" x14ac:dyDescent="0.2">
      <c r="A1139" s="4"/>
      <c r="B1139" s="4"/>
      <c r="C1139" s="49"/>
      <c r="D1139" s="91"/>
      <c r="E1139" s="92"/>
      <c r="F1139" s="23"/>
      <c r="G1139" s="23"/>
      <c r="H1139" s="23"/>
      <c r="I1139" s="23"/>
      <c r="J1139" s="62"/>
      <c r="K1139" s="62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ht="15.75" customHeight="1" x14ac:dyDescent="0.2">
      <c r="A1140" s="4"/>
      <c r="B1140" s="4"/>
      <c r="C1140" s="49"/>
      <c r="D1140" s="91"/>
      <c r="E1140" s="92"/>
      <c r="F1140" s="23"/>
      <c r="G1140" s="23"/>
      <c r="H1140" s="23"/>
      <c r="I1140" s="23"/>
      <c r="J1140" s="62"/>
      <c r="K1140" s="62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ht="15.75" customHeight="1" x14ac:dyDescent="0.2">
      <c r="A1141" s="4"/>
      <c r="B1141" s="4"/>
      <c r="C1141" s="49"/>
      <c r="D1141" s="91"/>
      <c r="E1141" s="92"/>
      <c r="F1141" s="23"/>
      <c r="G1141" s="23"/>
      <c r="H1141" s="23"/>
      <c r="I1141" s="23"/>
      <c r="J1141" s="62"/>
      <c r="K1141" s="62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ht="15.75" customHeight="1" x14ac:dyDescent="0.2">
      <c r="A1142" s="4"/>
      <c r="B1142" s="4"/>
      <c r="C1142" s="49"/>
      <c r="D1142" s="91"/>
      <c r="E1142" s="92"/>
      <c r="F1142" s="23"/>
      <c r="G1142" s="23"/>
      <c r="H1142" s="23"/>
      <c r="I1142" s="23"/>
      <c r="J1142" s="62"/>
      <c r="K1142" s="62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ht="15.75" customHeight="1" x14ac:dyDescent="0.2">
      <c r="A1143" s="4"/>
      <c r="B1143" s="4"/>
      <c r="C1143" s="49"/>
      <c r="D1143" s="91"/>
      <c r="E1143" s="92"/>
      <c r="F1143" s="23"/>
      <c r="G1143" s="23"/>
      <c r="H1143" s="23"/>
      <c r="I1143" s="23"/>
      <c r="J1143" s="62"/>
      <c r="K1143" s="62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ht="15.75" customHeight="1" x14ac:dyDescent="0.2">
      <c r="A1144" s="4"/>
      <c r="B1144" s="4"/>
      <c r="C1144" s="49"/>
      <c r="D1144" s="91"/>
      <c r="E1144" s="92"/>
      <c r="F1144" s="23"/>
      <c r="G1144" s="23"/>
      <c r="H1144" s="23"/>
      <c r="I1144" s="23"/>
      <c r="J1144" s="62"/>
      <c r="K1144" s="62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ht="15.75" customHeight="1" x14ac:dyDescent="0.2">
      <c r="A1145" s="4"/>
      <c r="B1145" s="4"/>
      <c r="C1145" s="49"/>
      <c r="D1145" s="91"/>
      <c r="E1145" s="92"/>
      <c r="F1145" s="23"/>
      <c r="G1145" s="23"/>
      <c r="H1145" s="23"/>
      <c r="I1145" s="23"/>
      <c r="J1145" s="62"/>
      <c r="K1145" s="62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ht="15.75" customHeight="1" x14ac:dyDescent="0.2">
      <c r="A1146" s="4"/>
      <c r="B1146" s="4"/>
      <c r="C1146" s="49"/>
      <c r="D1146" s="91"/>
      <c r="E1146" s="92"/>
      <c r="F1146" s="23"/>
      <c r="G1146" s="23"/>
      <c r="H1146" s="23"/>
      <c r="I1146" s="23"/>
      <c r="J1146" s="62"/>
      <c r="K1146" s="62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ht="15.75" customHeight="1" x14ac:dyDescent="0.2">
      <c r="A1147" s="4"/>
      <c r="B1147" s="4"/>
      <c r="C1147" s="49"/>
      <c r="D1147" s="91"/>
      <c r="E1147" s="92"/>
      <c r="F1147" s="23"/>
      <c r="G1147" s="23"/>
      <c r="H1147" s="23"/>
      <c r="I1147" s="23"/>
      <c r="J1147" s="62"/>
      <c r="K1147" s="62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ht="15.75" customHeight="1" x14ac:dyDescent="0.2">
      <c r="A1148" s="4"/>
      <c r="B1148" s="4"/>
      <c r="C1148" s="49"/>
      <c r="D1148" s="91"/>
      <c r="E1148" s="92"/>
      <c r="F1148" s="23"/>
      <c r="G1148" s="23"/>
      <c r="H1148" s="23"/>
      <c r="I1148" s="23"/>
      <c r="J1148" s="62"/>
      <c r="K1148" s="62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ht="15.75" customHeight="1" x14ac:dyDescent="0.2">
      <c r="A1149" s="4"/>
      <c r="B1149" s="4"/>
      <c r="C1149" s="49"/>
      <c r="D1149" s="91"/>
      <c r="E1149" s="92"/>
      <c r="F1149" s="23"/>
      <c r="G1149" s="23"/>
      <c r="H1149" s="23"/>
      <c r="I1149" s="23"/>
      <c r="J1149" s="62"/>
      <c r="K1149" s="62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ht="15.75" customHeight="1" x14ac:dyDescent="0.2">
      <c r="A1150" s="4"/>
      <c r="B1150" s="4"/>
      <c r="C1150" s="49"/>
      <c r="D1150" s="91"/>
      <c r="E1150" s="92"/>
      <c r="F1150" s="23"/>
      <c r="G1150" s="23"/>
      <c r="H1150" s="23"/>
      <c r="I1150" s="23"/>
      <c r="J1150" s="62"/>
      <c r="K1150" s="62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ht="15.75" customHeight="1" x14ac:dyDescent="0.2">
      <c r="A1151" s="4"/>
      <c r="B1151" s="4"/>
      <c r="C1151" s="49"/>
      <c r="D1151" s="91"/>
      <c r="E1151" s="92"/>
      <c r="F1151" s="23"/>
      <c r="G1151" s="23"/>
      <c r="H1151" s="23"/>
      <c r="I1151" s="23"/>
      <c r="J1151" s="62"/>
      <c r="K1151" s="62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ht="15.75" customHeight="1" x14ac:dyDescent="0.2">
      <c r="A1152" s="4"/>
      <c r="B1152" s="4"/>
      <c r="C1152" s="49"/>
      <c r="D1152" s="91"/>
      <c r="E1152" s="92"/>
      <c r="F1152" s="23"/>
      <c r="G1152" s="23"/>
      <c r="H1152" s="23"/>
      <c r="I1152" s="23"/>
      <c r="J1152" s="62"/>
      <c r="K1152" s="62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ht="15.75" customHeight="1" x14ac:dyDescent="0.2">
      <c r="A1153" s="4"/>
      <c r="B1153" s="4"/>
      <c r="C1153" s="49"/>
      <c r="D1153" s="91"/>
      <c r="E1153" s="92"/>
      <c r="F1153" s="23"/>
      <c r="G1153" s="23"/>
      <c r="H1153" s="23"/>
      <c r="I1153" s="23"/>
      <c r="J1153" s="62"/>
      <c r="K1153" s="62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ht="15.75" customHeight="1" x14ac:dyDescent="0.2">
      <c r="A1154" s="4"/>
      <c r="B1154" s="4"/>
      <c r="C1154" s="49"/>
      <c r="D1154" s="91"/>
      <c r="E1154" s="92"/>
      <c r="F1154" s="23"/>
      <c r="G1154" s="23"/>
      <c r="H1154" s="23"/>
      <c r="I1154" s="23"/>
      <c r="J1154" s="62"/>
      <c r="K1154" s="62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ht="15.75" customHeight="1" x14ac:dyDescent="0.2">
      <c r="A1155" s="4"/>
      <c r="B1155" s="4"/>
      <c r="C1155" s="49"/>
      <c r="D1155" s="91"/>
      <c r="E1155" s="92"/>
      <c r="F1155" s="23"/>
      <c r="G1155" s="23"/>
      <c r="H1155" s="23"/>
      <c r="I1155" s="23"/>
      <c r="J1155" s="62"/>
      <c r="K1155" s="62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ht="15.75" customHeight="1" x14ac:dyDescent="0.2">
      <c r="A1156" s="4"/>
      <c r="B1156" s="4"/>
      <c r="C1156" s="49"/>
      <c r="D1156" s="91"/>
      <c r="E1156" s="92"/>
      <c r="F1156" s="23"/>
      <c r="G1156" s="23"/>
      <c r="H1156" s="23"/>
      <c r="I1156" s="23"/>
      <c r="J1156" s="62"/>
      <c r="K1156" s="62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ht="15.75" customHeight="1" x14ac:dyDescent="0.2">
      <c r="A1157" s="4"/>
      <c r="B1157" s="4"/>
      <c r="C1157" s="49"/>
      <c r="D1157" s="91"/>
      <c r="E1157" s="92"/>
      <c r="F1157" s="23"/>
      <c r="G1157" s="23"/>
      <c r="H1157" s="23"/>
      <c r="I1157" s="23"/>
      <c r="J1157" s="62"/>
      <c r="K1157" s="62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ht="15.75" customHeight="1" x14ac:dyDescent="0.2">
      <c r="A1158" s="4"/>
      <c r="B1158" s="4"/>
      <c r="C1158" s="49"/>
      <c r="D1158" s="91"/>
      <c r="E1158" s="92"/>
      <c r="F1158" s="23"/>
      <c r="G1158" s="23"/>
      <c r="H1158" s="23"/>
      <c r="I1158" s="23"/>
      <c r="J1158" s="62"/>
      <c r="K1158" s="62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ht="15.75" customHeight="1" x14ac:dyDescent="0.2">
      <c r="A1159" s="4"/>
      <c r="B1159" s="4"/>
      <c r="C1159" s="49"/>
      <c r="D1159" s="91"/>
      <c r="E1159" s="92"/>
      <c r="F1159" s="23"/>
      <c r="G1159" s="23"/>
      <c r="H1159" s="23"/>
      <c r="I1159" s="23"/>
      <c r="J1159" s="62"/>
      <c r="K1159" s="62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ht="15.75" customHeight="1" x14ac:dyDescent="0.2">
      <c r="A1160" s="4"/>
      <c r="B1160" s="4"/>
      <c r="C1160" s="49"/>
      <c r="D1160" s="91"/>
      <c r="E1160" s="92"/>
      <c r="F1160" s="23"/>
      <c r="G1160" s="23"/>
      <c r="H1160" s="23"/>
      <c r="I1160" s="23"/>
      <c r="J1160" s="62"/>
      <c r="K1160" s="62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ht="15.75" customHeight="1" x14ac:dyDescent="0.2">
      <c r="A1161" s="4"/>
      <c r="B1161" s="4"/>
      <c r="C1161" s="49"/>
      <c r="D1161" s="91"/>
      <c r="E1161" s="92"/>
      <c r="F1161" s="23"/>
      <c r="G1161" s="23"/>
      <c r="H1161" s="23"/>
      <c r="I1161" s="23"/>
      <c r="J1161" s="62"/>
      <c r="K1161" s="62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ht="15.75" customHeight="1" x14ac:dyDescent="0.2">
      <c r="A1162" s="4"/>
      <c r="B1162" s="4"/>
      <c r="C1162" s="49"/>
      <c r="D1162" s="91"/>
      <c r="E1162" s="92"/>
      <c r="F1162" s="23"/>
      <c r="G1162" s="23"/>
      <c r="H1162" s="23"/>
      <c r="I1162" s="23"/>
      <c r="J1162" s="62"/>
      <c r="K1162" s="62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ht="15.75" customHeight="1" x14ac:dyDescent="0.2">
      <c r="A1163" s="4"/>
      <c r="B1163" s="4"/>
      <c r="C1163" s="49"/>
      <c r="D1163" s="91"/>
      <c r="E1163" s="92"/>
      <c r="F1163" s="23"/>
      <c r="G1163" s="23"/>
      <c r="H1163" s="23"/>
      <c r="I1163" s="23"/>
      <c r="J1163" s="62"/>
      <c r="K1163" s="62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ht="15.75" customHeight="1" x14ac:dyDescent="0.2">
      <c r="A1164" s="4"/>
      <c r="B1164" s="4"/>
      <c r="C1164" s="49"/>
      <c r="D1164" s="91"/>
      <c r="E1164" s="92"/>
      <c r="F1164" s="23"/>
      <c r="G1164" s="23"/>
      <c r="H1164" s="23"/>
      <c r="I1164" s="23"/>
      <c r="J1164" s="62"/>
      <c r="K1164" s="62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ht="15.75" customHeight="1" x14ac:dyDescent="0.2">
      <c r="A1165" s="4"/>
      <c r="B1165" s="4"/>
      <c r="C1165" s="49"/>
      <c r="D1165" s="91"/>
      <c r="E1165" s="92"/>
      <c r="F1165" s="23"/>
      <c r="G1165" s="23"/>
      <c r="H1165" s="23"/>
      <c r="I1165" s="23"/>
      <c r="J1165" s="62"/>
      <c r="K1165" s="62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ht="15.75" customHeight="1" x14ac:dyDescent="0.2">
      <c r="A1166" s="4"/>
      <c r="B1166" s="4"/>
      <c r="C1166" s="49"/>
      <c r="D1166" s="91"/>
      <c r="E1166" s="92"/>
      <c r="F1166" s="23"/>
      <c r="G1166" s="23"/>
      <c r="H1166" s="23"/>
      <c r="I1166" s="23"/>
      <c r="J1166" s="62"/>
      <c r="K1166" s="62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ht="15.75" customHeight="1" x14ac:dyDescent="0.2">
      <c r="A1167" s="4"/>
      <c r="B1167" s="4"/>
      <c r="C1167" s="49"/>
      <c r="D1167" s="91"/>
      <c r="E1167" s="92"/>
      <c r="F1167" s="23"/>
      <c r="G1167" s="23"/>
      <c r="H1167" s="23"/>
      <c r="I1167" s="23"/>
      <c r="J1167" s="62"/>
      <c r="K1167" s="62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ht="15.75" customHeight="1" x14ac:dyDescent="0.2">
      <c r="A1168" s="4"/>
      <c r="B1168" s="4"/>
      <c r="C1168" s="49"/>
      <c r="D1168" s="91"/>
      <c r="E1168" s="92"/>
      <c r="F1168" s="23"/>
      <c r="G1168" s="23"/>
      <c r="H1168" s="23"/>
      <c r="I1168" s="23"/>
      <c r="J1168" s="62"/>
      <c r="K1168" s="62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ht="15.75" customHeight="1" x14ac:dyDescent="0.2">
      <c r="A1169" s="4"/>
      <c r="B1169" s="4"/>
      <c r="C1169" s="49"/>
      <c r="D1169" s="91"/>
      <c r="E1169" s="92"/>
      <c r="F1169" s="23"/>
      <c r="G1169" s="23"/>
      <c r="H1169" s="23"/>
      <c r="I1169" s="23"/>
      <c r="J1169" s="62"/>
      <c r="K1169" s="62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ht="15.75" customHeight="1" x14ac:dyDescent="0.2">
      <c r="A1170" s="4"/>
      <c r="B1170" s="4"/>
      <c r="C1170" s="49"/>
      <c r="D1170" s="91"/>
      <c r="E1170" s="92"/>
      <c r="F1170" s="23"/>
      <c r="G1170" s="23"/>
      <c r="H1170" s="23"/>
      <c r="I1170" s="23"/>
      <c r="J1170" s="62"/>
      <c r="K1170" s="62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ht="15.75" customHeight="1" x14ac:dyDescent="0.2">
      <c r="A1171" s="4"/>
      <c r="B1171" s="4"/>
      <c r="C1171" s="49"/>
      <c r="D1171" s="91"/>
      <c r="E1171" s="92"/>
      <c r="F1171" s="23"/>
      <c r="G1171" s="23"/>
      <c r="H1171" s="23"/>
      <c r="I1171" s="23"/>
      <c r="J1171" s="62"/>
      <c r="K1171" s="62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ht="15.75" customHeight="1" x14ac:dyDescent="0.2">
      <c r="A1172" s="4"/>
      <c r="B1172" s="4"/>
      <c r="C1172" s="49"/>
      <c r="D1172" s="91"/>
      <c r="E1172" s="92"/>
      <c r="F1172" s="23"/>
      <c r="G1172" s="23"/>
      <c r="H1172" s="23"/>
      <c r="I1172" s="23"/>
      <c r="J1172" s="62"/>
      <c r="K1172" s="62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ht="15.75" customHeight="1" x14ac:dyDescent="0.2">
      <c r="A1173" s="4"/>
      <c r="B1173" s="4"/>
      <c r="C1173" s="49"/>
      <c r="D1173" s="91"/>
      <c r="E1173" s="92"/>
      <c r="F1173" s="23"/>
      <c r="G1173" s="23"/>
      <c r="H1173" s="23"/>
      <c r="I1173" s="23"/>
      <c r="J1173" s="62"/>
      <c r="K1173" s="62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ht="15.75" customHeight="1" x14ac:dyDescent="0.2">
      <c r="A1174" s="4"/>
      <c r="B1174" s="4"/>
      <c r="C1174" s="49"/>
      <c r="D1174" s="91"/>
      <c r="E1174" s="92"/>
      <c r="F1174" s="23"/>
      <c r="G1174" s="23"/>
      <c r="H1174" s="23"/>
      <c r="I1174" s="23"/>
      <c r="J1174" s="62"/>
      <c r="K1174" s="62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ht="15.75" customHeight="1" x14ac:dyDescent="0.2">
      <c r="A1175" s="4"/>
      <c r="B1175" s="4"/>
      <c r="C1175" s="49"/>
      <c r="D1175" s="91"/>
      <c r="E1175" s="92"/>
      <c r="F1175" s="23"/>
      <c r="G1175" s="23"/>
      <c r="H1175" s="23"/>
      <c r="I1175" s="23"/>
      <c r="J1175" s="62"/>
      <c r="K1175" s="62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ht="15.75" customHeight="1" x14ac:dyDescent="0.2">
      <c r="A1176" s="4"/>
      <c r="B1176" s="4"/>
      <c r="C1176" s="49"/>
      <c r="D1176" s="91"/>
      <c r="E1176" s="92"/>
      <c r="F1176" s="23"/>
      <c r="G1176" s="23"/>
      <c r="H1176" s="23"/>
      <c r="I1176" s="23"/>
      <c r="J1176" s="62"/>
      <c r="K1176" s="62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ht="15.75" customHeight="1" x14ac:dyDescent="0.2">
      <c r="A1177" s="4"/>
      <c r="B1177" s="4"/>
      <c r="C1177" s="49"/>
      <c r="D1177" s="91"/>
      <c r="E1177" s="92"/>
      <c r="F1177" s="23"/>
      <c r="G1177" s="23"/>
      <c r="H1177" s="23"/>
      <c r="I1177" s="23"/>
      <c r="J1177" s="62"/>
      <c r="K1177" s="62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ht="15.75" customHeight="1" x14ac:dyDescent="0.2">
      <c r="A1178" s="4"/>
      <c r="B1178" s="4"/>
      <c r="C1178" s="49"/>
      <c r="D1178" s="91"/>
      <c r="E1178" s="92"/>
      <c r="F1178" s="23"/>
      <c r="G1178" s="23"/>
      <c r="H1178" s="23"/>
      <c r="I1178" s="23"/>
      <c r="J1178" s="62"/>
      <c r="K1178" s="62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ht="15.75" customHeight="1" x14ac:dyDescent="0.2">
      <c r="A1179" s="4"/>
      <c r="B1179" s="4"/>
      <c r="C1179" s="49"/>
      <c r="D1179" s="91"/>
      <c r="E1179" s="92"/>
      <c r="F1179" s="23"/>
      <c r="G1179" s="23"/>
      <c r="H1179" s="23"/>
      <c r="I1179" s="23"/>
      <c r="J1179" s="62"/>
      <c r="K1179" s="62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ht="15.75" customHeight="1" x14ac:dyDescent="0.2">
      <c r="A1180" s="4"/>
      <c r="B1180" s="4"/>
      <c r="C1180" s="49"/>
      <c r="D1180" s="91"/>
      <c r="E1180" s="92"/>
      <c r="F1180" s="23"/>
      <c r="G1180" s="23"/>
      <c r="H1180" s="23"/>
      <c r="I1180" s="23"/>
      <c r="J1180" s="62"/>
      <c r="K1180" s="62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ht="15.75" customHeight="1" x14ac:dyDescent="0.2">
      <c r="A1181" s="4"/>
      <c r="B1181" s="4"/>
      <c r="C1181" s="49"/>
      <c r="D1181" s="91"/>
      <c r="E1181" s="92"/>
      <c r="F1181" s="23"/>
      <c r="G1181" s="23"/>
      <c r="H1181" s="23"/>
      <c r="I1181" s="23"/>
      <c r="J1181" s="62"/>
      <c r="K1181" s="62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ht="15.75" customHeight="1" x14ac:dyDescent="0.2">
      <c r="A1182" s="4"/>
      <c r="B1182" s="4"/>
      <c r="C1182" s="49"/>
      <c r="D1182" s="91"/>
      <c r="E1182" s="92"/>
      <c r="F1182" s="23"/>
      <c r="G1182" s="23"/>
      <c r="H1182" s="23"/>
      <c r="I1182" s="23"/>
      <c r="J1182" s="62"/>
      <c r="K1182" s="62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ht="15.75" customHeight="1" x14ac:dyDescent="0.2">
      <c r="A1183" s="4"/>
      <c r="B1183" s="4"/>
      <c r="C1183" s="49"/>
      <c r="D1183" s="91"/>
      <c r="E1183" s="92"/>
      <c r="F1183" s="23"/>
      <c r="G1183" s="23"/>
      <c r="H1183" s="23"/>
      <c r="I1183" s="23"/>
      <c r="J1183" s="62"/>
      <c r="K1183" s="62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ht="15.75" customHeight="1" x14ac:dyDescent="0.2">
      <c r="A1184" s="4"/>
      <c r="B1184" s="4"/>
      <c r="C1184" s="49"/>
      <c r="D1184" s="91"/>
      <c r="E1184" s="92"/>
      <c r="F1184" s="23"/>
      <c r="G1184" s="23"/>
      <c r="H1184" s="23"/>
      <c r="I1184" s="23"/>
      <c r="J1184" s="62"/>
      <c r="K1184" s="62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ht="15.75" customHeight="1" x14ac:dyDescent="0.2">
      <c r="A1185" s="4"/>
      <c r="B1185" s="4"/>
      <c r="C1185" s="49"/>
      <c r="D1185" s="91"/>
      <c r="E1185" s="92"/>
      <c r="F1185" s="23"/>
      <c r="G1185" s="23"/>
      <c r="H1185" s="23"/>
      <c r="I1185" s="23"/>
      <c r="J1185" s="62"/>
      <c r="K1185" s="62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ht="15.75" customHeight="1" x14ac:dyDescent="0.2">
      <c r="A1186" s="4"/>
      <c r="B1186" s="4"/>
      <c r="C1186" s="49"/>
      <c r="D1186" s="91"/>
      <c r="E1186" s="92"/>
      <c r="F1186" s="23"/>
      <c r="G1186" s="23"/>
      <c r="H1186" s="23"/>
      <c r="I1186" s="23"/>
      <c r="J1186" s="62"/>
      <c r="K1186" s="62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ht="15.75" customHeight="1" x14ac:dyDescent="0.2">
      <c r="A1187" s="4"/>
      <c r="B1187" s="4"/>
      <c r="C1187" s="49"/>
      <c r="D1187" s="91"/>
      <c r="E1187" s="92"/>
      <c r="F1187" s="23"/>
      <c r="G1187" s="23"/>
      <c r="H1187" s="23"/>
      <c r="I1187" s="23"/>
      <c r="J1187" s="62"/>
      <c r="K1187" s="62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ht="15.75" customHeight="1" x14ac:dyDescent="0.2">
      <c r="A1188" s="4"/>
      <c r="B1188" s="4"/>
      <c r="C1188" s="49"/>
      <c r="D1188" s="91"/>
      <c r="E1188" s="92"/>
      <c r="F1188" s="23"/>
      <c r="G1188" s="23"/>
      <c r="H1188" s="23"/>
      <c r="I1188" s="23"/>
      <c r="J1188" s="62"/>
      <c r="K1188" s="62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ht="15.75" customHeight="1" x14ac:dyDescent="0.2">
      <c r="A1189" s="4"/>
      <c r="B1189" s="4"/>
      <c r="C1189" s="49"/>
      <c r="D1189" s="91"/>
      <c r="E1189" s="92"/>
      <c r="F1189" s="23"/>
      <c r="G1189" s="23"/>
      <c r="H1189" s="23"/>
      <c r="I1189" s="23"/>
      <c r="J1189" s="62"/>
      <c r="K1189" s="62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ht="15.75" customHeight="1" x14ac:dyDescent="0.2">
      <c r="A1190" s="4"/>
      <c r="B1190" s="4"/>
      <c r="C1190" s="49"/>
      <c r="D1190" s="91"/>
      <c r="E1190" s="92"/>
      <c r="F1190" s="23"/>
      <c r="G1190" s="23"/>
      <c r="H1190" s="23"/>
      <c r="I1190" s="23"/>
      <c r="J1190" s="62"/>
      <c r="K1190" s="62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ht="15.75" customHeight="1" x14ac:dyDescent="0.2">
      <c r="A1191" s="4"/>
      <c r="B1191" s="4"/>
      <c r="C1191" s="49"/>
      <c r="D1191" s="91"/>
      <c r="E1191" s="92"/>
      <c r="F1191" s="23"/>
      <c r="G1191" s="23"/>
      <c r="H1191" s="23"/>
      <c r="I1191" s="23"/>
      <c r="J1191" s="62"/>
      <c r="K1191" s="62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ht="15.75" customHeight="1" x14ac:dyDescent="0.2">
      <c r="A1192" s="4"/>
      <c r="B1192" s="4"/>
      <c r="C1192" s="49"/>
      <c r="D1192" s="91"/>
      <c r="E1192" s="92"/>
      <c r="F1192" s="23"/>
      <c r="G1192" s="23"/>
      <c r="H1192" s="23"/>
      <c r="I1192" s="23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ht="15.75" customHeight="1" x14ac:dyDescent="0.2">
      <c r="A1193" s="4"/>
      <c r="B1193" s="4"/>
      <c r="C1193" s="49"/>
      <c r="D1193" s="91"/>
      <c r="E1193" s="92"/>
      <c r="F1193" s="23"/>
      <c r="G1193" s="23"/>
      <c r="H1193" s="23"/>
      <c r="I1193" s="23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ht="15.75" customHeight="1" x14ac:dyDescent="0.2">
      <c r="A1194" s="4"/>
      <c r="B1194" s="4"/>
      <c r="C1194" s="49"/>
      <c r="D1194" s="91"/>
      <c r="E1194" s="92"/>
      <c r="F1194" s="23"/>
      <c r="G1194" s="23"/>
      <c r="H1194" s="23"/>
      <c r="I1194" s="23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15.75" customHeight="1" x14ac:dyDescent="0.2">
      <c r="A1195" s="4"/>
      <c r="B1195" s="4"/>
      <c r="C1195" s="49"/>
      <c r="D1195" s="91"/>
      <c r="E1195" s="92"/>
      <c r="F1195" s="23"/>
      <c r="G1195" s="23"/>
      <c r="H1195" s="23"/>
      <c r="I1195" s="23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ht="15.75" customHeight="1" x14ac:dyDescent="0.2">
      <c r="A1196" s="4"/>
      <c r="B1196" s="4"/>
      <c r="C1196" s="49"/>
      <c r="D1196" s="91"/>
      <c r="E1196" s="92"/>
      <c r="F1196" s="23"/>
      <c r="G1196" s="23"/>
      <c r="H1196" s="23"/>
      <c r="I1196" s="23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ht="15.75" customHeight="1" x14ac:dyDescent="0.2">
      <c r="A1197" s="4"/>
      <c r="B1197" s="4"/>
      <c r="C1197" s="49"/>
      <c r="D1197" s="91"/>
      <c r="E1197" s="92"/>
      <c r="F1197" s="23"/>
      <c r="G1197" s="23"/>
      <c r="H1197" s="23"/>
      <c r="I1197" s="23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ht="15.75" customHeight="1" x14ac:dyDescent="0.2">
      <c r="A1198" s="4"/>
      <c r="B1198" s="4"/>
      <c r="C1198" s="49"/>
      <c r="D1198" s="91"/>
      <c r="E1198" s="92"/>
      <c r="F1198" s="23"/>
      <c r="G1198" s="23"/>
      <c r="H1198" s="23"/>
      <c r="I1198" s="23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ht="15.75" customHeight="1" x14ac:dyDescent="0.2">
      <c r="A1199" s="4"/>
      <c r="B1199" s="4"/>
      <c r="C1199" s="49"/>
      <c r="D1199" s="91"/>
      <c r="E1199" s="92"/>
      <c r="F1199" s="23"/>
      <c r="G1199" s="23"/>
      <c r="H1199" s="23"/>
      <c r="I1199" s="23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ht="15.75" customHeight="1" x14ac:dyDescent="0.2">
      <c r="A1200" s="4"/>
      <c r="B1200" s="4"/>
      <c r="C1200" s="49"/>
      <c r="D1200" s="91"/>
      <c r="E1200" s="92"/>
      <c r="F1200" s="23"/>
      <c r="G1200" s="23"/>
      <c r="H1200" s="23"/>
      <c r="I1200" s="23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ht="15.75" customHeight="1" x14ac:dyDescent="0.2">
      <c r="A1201" s="4"/>
      <c r="B1201" s="4"/>
      <c r="C1201" s="49"/>
      <c r="D1201" s="91"/>
      <c r="E1201" s="92"/>
      <c r="F1201" s="23"/>
      <c r="G1201" s="23"/>
      <c r="H1201" s="23"/>
      <c r="I1201" s="23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ht="15.75" customHeight="1" x14ac:dyDescent="0.2">
      <c r="A1202" s="4"/>
      <c r="B1202" s="4"/>
      <c r="C1202" s="49"/>
      <c r="D1202" s="91"/>
      <c r="E1202" s="92"/>
      <c r="F1202" s="23"/>
      <c r="G1202" s="23"/>
      <c r="H1202" s="23"/>
      <c r="I1202" s="23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ht="15.75" customHeight="1" x14ac:dyDescent="0.2">
      <c r="A1203" s="4"/>
      <c r="B1203" s="4"/>
      <c r="C1203" s="49"/>
      <c r="D1203" s="91"/>
      <c r="E1203" s="92"/>
      <c r="F1203" s="23"/>
      <c r="G1203" s="23"/>
      <c r="H1203" s="23"/>
      <c r="I1203" s="23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ht="15.75" customHeight="1" x14ac:dyDescent="0.2">
      <c r="A1204" s="4"/>
      <c r="B1204" s="4"/>
      <c r="C1204" s="49"/>
      <c r="D1204" s="91"/>
      <c r="E1204" s="92"/>
      <c r="F1204" s="23"/>
      <c r="G1204" s="23"/>
      <c r="H1204" s="23"/>
      <c r="I1204" s="23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ht="15.75" customHeight="1" x14ac:dyDescent="0.2">
      <c r="A1205" s="4"/>
      <c r="B1205" s="4"/>
      <c r="C1205" s="49"/>
      <c r="D1205" s="91"/>
      <c r="E1205" s="92"/>
      <c r="F1205" s="23"/>
      <c r="G1205" s="23"/>
      <c r="H1205" s="23"/>
      <c r="I1205" s="23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ht="15.75" customHeight="1" x14ac:dyDescent="0.2">
      <c r="A1206" s="4"/>
      <c r="B1206" s="4"/>
      <c r="C1206" s="49"/>
      <c r="D1206" s="91"/>
      <c r="E1206" s="92"/>
      <c r="F1206" s="23"/>
      <c r="G1206" s="23"/>
      <c r="H1206" s="23"/>
      <c r="I1206" s="23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ht="15.75" customHeight="1" x14ac:dyDescent="0.2">
      <c r="A1207" s="4"/>
      <c r="B1207" s="4"/>
      <c r="C1207" s="49"/>
      <c r="D1207" s="91"/>
      <c r="E1207" s="92"/>
      <c r="F1207" s="23"/>
      <c r="G1207" s="23"/>
      <c r="H1207" s="23"/>
      <c r="I1207" s="23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ht="15.75" customHeight="1" x14ac:dyDescent="0.2">
      <c r="A1208" s="4"/>
      <c r="B1208" s="4"/>
      <c r="C1208" s="49"/>
      <c r="D1208" s="91"/>
      <c r="E1208" s="92"/>
      <c r="F1208" s="23"/>
      <c r="G1208" s="23"/>
      <c r="H1208" s="23"/>
      <c r="I1208" s="23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ht="15.75" customHeight="1" x14ac:dyDescent="0.2">
      <c r="A1209" s="4"/>
      <c r="B1209" s="4"/>
      <c r="C1209" s="49"/>
      <c r="D1209" s="91"/>
      <c r="E1209" s="92"/>
      <c r="F1209" s="23"/>
      <c r="G1209" s="23"/>
      <c r="H1209" s="23"/>
      <c r="I1209" s="23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ht="15.75" customHeight="1" x14ac:dyDescent="0.2">
      <c r="A1210" s="4"/>
      <c r="B1210" s="4"/>
      <c r="C1210" s="49"/>
      <c r="D1210" s="91"/>
      <c r="E1210" s="92"/>
      <c r="F1210" s="23"/>
      <c r="G1210" s="23"/>
      <c r="H1210" s="23"/>
      <c r="I1210" s="23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ht="15.75" customHeight="1" x14ac:dyDescent="0.2">
      <c r="A1211" s="4"/>
      <c r="B1211" s="4"/>
      <c r="C1211" s="49"/>
      <c r="D1211" s="91"/>
      <c r="E1211" s="92"/>
      <c r="F1211" s="23"/>
      <c r="G1211" s="23"/>
      <c r="H1211" s="23"/>
      <c r="I1211" s="23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ht="15.75" customHeight="1" x14ac:dyDescent="0.2">
      <c r="A1212" s="4"/>
      <c r="B1212" s="4"/>
      <c r="C1212" s="49"/>
      <c r="D1212" s="91"/>
      <c r="E1212" s="92"/>
      <c r="F1212" s="23"/>
      <c r="G1212" s="23"/>
      <c r="H1212" s="23"/>
      <c r="I1212" s="23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ht="15.75" customHeight="1" x14ac:dyDescent="0.2">
      <c r="A1213" s="4"/>
      <c r="B1213" s="4"/>
      <c r="C1213" s="49"/>
      <c r="D1213" s="91"/>
      <c r="E1213" s="92"/>
      <c r="F1213" s="23"/>
      <c r="G1213" s="23"/>
      <c r="H1213" s="23"/>
      <c r="I1213" s="23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ht="15.75" customHeight="1" x14ac:dyDescent="0.2">
      <c r="A1214" s="4"/>
      <c r="B1214" s="4"/>
      <c r="C1214" s="49"/>
      <c r="D1214" s="91"/>
      <c r="E1214" s="92"/>
      <c r="F1214" s="23"/>
      <c r="G1214" s="23"/>
      <c r="H1214" s="23"/>
      <c r="I1214" s="23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ht="15.75" customHeight="1" x14ac:dyDescent="0.2">
      <c r="A1215" s="4"/>
      <c r="B1215" s="4"/>
      <c r="C1215" s="49"/>
      <c r="D1215" s="91"/>
      <c r="E1215" s="92"/>
      <c r="F1215" s="23"/>
      <c r="G1215" s="23"/>
      <c r="H1215" s="23"/>
      <c r="I1215" s="23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ht="15.75" customHeight="1" x14ac:dyDescent="0.2">
      <c r="A1216" s="4"/>
      <c r="B1216" s="4"/>
      <c r="C1216" s="49"/>
      <c r="D1216" s="91"/>
      <c r="E1216" s="92"/>
      <c r="F1216" s="23"/>
      <c r="G1216" s="23"/>
      <c r="H1216" s="23"/>
      <c r="I1216" s="23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ht="15.75" customHeight="1" x14ac:dyDescent="0.2">
      <c r="A1217" s="4"/>
      <c r="B1217" s="4"/>
      <c r="C1217" s="49"/>
      <c r="D1217" s="91"/>
      <c r="E1217" s="92"/>
      <c r="F1217" s="23"/>
      <c r="G1217" s="23"/>
      <c r="H1217" s="23"/>
      <c r="I1217" s="23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ht="15.75" customHeight="1" x14ac:dyDescent="0.2">
      <c r="A1218" s="4"/>
      <c r="B1218" s="4"/>
      <c r="C1218" s="49"/>
      <c r="D1218" s="91"/>
      <c r="E1218" s="92"/>
      <c r="F1218" s="23"/>
      <c r="G1218" s="23"/>
      <c r="H1218" s="23"/>
      <c r="I1218" s="23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ht="15.75" customHeight="1" x14ac:dyDescent="0.2">
      <c r="A1219" s="4"/>
      <c r="B1219" s="4"/>
      <c r="C1219" s="49"/>
      <c r="D1219" s="91"/>
      <c r="E1219" s="92"/>
      <c r="F1219" s="23"/>
      <c r="G1219" s="23"/>
      <c r="H1219" s="23"/>
      <c r="I1219" s="23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ht="15.75" customHeight="1" x14ac:dyDescent="0.2">
      <c r="A1220" s="4"/>
      <c r="B1220" s="4"/>
      <c r="C1220" s="49"/>
      <c r="D1220" s="91"/>
      <c r="E1220" s="92"/>
      <c r="F1220" s="23"/>
      <c r="G1220" s="23"/>
      <c r="H1220" s="23"/>
      <c r="I1220" s="23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ht="15.75" customHeight="1" x14ac:dyDescent="0.2">
      <c r="A1221" s="4"/>
      <c r="B1221" s="4"/>
      <c r="C1221" s="49"/>
      <c r="D1221" s="91"/>
      <c r="E1221" s="92"/>
      <c r="F1221" s="23"/>
      <c r="G1221" s="23"/>
      <c r="H1221" s="23"/>
      <c r="I1221" s="23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ht="15.75" customHeight="1" x14ac:dyDescent="0.2">
      <c r="A1222" s="4"/>
      <c r="B1222" s="4"/>
      <c r="C1222" s="49"/>
      <c r="D1222" s="91"/>
      <c r="E1222" s="92"/>
      <c r="F1222" s="23"/>
      <c r="G1222" s="23"/>
      <c r="H1222" s="23"/>
      <c r="I1222" s="23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ht="15.75" customHeight="1" x14ac:dyDescent="0.2">
      <c r="A1223" s="4"/>
      <c r="B1223" s="4"/>
      <c r="C1223" s="49"/>
      <c r="D1223" s="91"/>
      <c r="E1223" s="92"/>
      <c r="F1223" s="23"/>
      <c r="G1223" s="23"/>
      <c r="H1223" s="23"/>
      <c r="I1223" s="23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ht="15.75" customHeight="1" x14ac:dyDescent="0.2">
      <c r="A1224" s="4"/>
      <c r="B1224" s="4"/>
      <c r="C1224" s="49"/>
      <c r="D1224" s="91"/>
      <c r="E1224" s="92"/>
      <c r="F1224" s="23"/>
      <c r="G1224" s="23"/>
      <c r="H1224" s="23"/>
      <c r="I1224" s="23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ht="15.75" customHeight="1" x14ac:dyDescent="0.2">
      <c r="A1225" s="4"/>
      <c r="B1225" s="4"/>
      <c r="C1225" s="49"/>
      <c r="D1225" s="91"/>
      <c r="E1225" s="92"/>
      <c r="F1225" s="23"/>
      <c r="G1225" s="23"/>
      <c r="H1225" s="23"/>
      <c r="I1225" s="23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ht="15.75" customHeight="1" x14ac:dyDescent="0.2">
      <c r="A1226" s="4"/>
      <c r="B1226" s="4"/>
      <c r="C1226" s="49"/>
      <c r="D1226" s="91"/>
      <c r="E1226" s="92"/>
      <c r="F1226" s="23"/>
      <c r="G1226" s="23"/>
      <c r="H1226" s="23"/>
      <c r="I1226" s="23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ht="15.75" customHeight="1" x14ac:dyDescent="0.2">
      <c r="A1227" s="4"/>
      <c r="B1227" s="4"/>
      <c r="C1227" s="49"/>
      <c r="D1227" s="91"/>
      <c r="E1227" s="92"/>
      <c r="F1227" s="23"/>
      <c r="G1227" s="23"/>
      <c r="H1227" s="23"/>
      <c r="I1227" s="23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ht="15.75" customHeight="1" x14ac:dyDescent="0.2">
      <c r="A1228" s="4"/>
      <c r="B1228" s="4"/>
      <c r="C1228" s="49"/>
      <c r="D1228" s="91"/>
      <c r="E1228" s="92"/>
      <c r="F1228" s="23"/>
      <c r="G1228" s="23"/>
      <c r="H1228" s="23"/>
      <c r="I1228" s="23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ht="15.75" customHeight="1" x14ac:dyDescent="0.2">
      <c r="A1229" s="4"/>
      <c r="B1229" s="4"/>
      <c r="C1229" s="49"/>
      <c r="D1229" s="91"/>
      <c r="E1229" s="92"/>
      <c r="F1229" s="23"/>
      <c r="G1229" s="23"/>
      <c r="H1229" s="23"/>
      <c r="I1229" s="23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ht="15.75" customHeight="1" x14ac:dyDescent="0.2">
      <c r="A1230" s="4"/>
      <c r="B1230" s="4"/>
      <c r="C1230" s="49"/>
      <c r="D1230" s="91"/>
      <c r="E1230" s="92"/>
      <c r="F1230" s="23"/>
      <c r="G1230" s="23"/>
      <c r="H1230" s="23"/>
      <c r="I1230" s="23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ht="15.75" customHeight="1" x14ac:dyDescent="0.2">
      <c r="A1231" s="4"/>
      <c r="B1231" s="4"/>
      <c r="C1231" s="49"/>
      <c r="D1231" s="91"/>
      <c r="E1231" s="92"/>
      <c r="F1231" s="23"/>
      <c r="G1231" s="23"/>
      <c r="H1231" s="23"/>
      <c r="I1231" s="23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ht="15.75" customHeight="1" x14ac:dyDescent="0.2">
      <c r="A1232" s="4"/>
      <c r="B1232" s="4"/>
      <c r="C1232" s="49"/>
      <c r="D1232" s="91"/>
      <c r="E1232" s="92"/>
      <c r="F1232" s="23"/>
      <c r="G1232" s="23"/>
      <c r="H1232" s="23"/>
      <c r="I1232" s="23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ht="15.75" customHeight="1" x14ac:dyDescent="0.2">
      <c r="A1233" s="4"/>
      <c r="B1233" s="4"/>
      <c r="C1233" s="49"/>
      <c r="D1233" s="91"/>
      <c r="E1233" s="92"/>
      <c r="F1233" s="23"/>
      <c r="G1233" s="23"/>
      <c r="H1233" s="23"/>
      <c r="I1233" s="23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ht="15.75" customHeight="1" x14ac:dyDescent="0.2">
      <c r="A1234" s="4"/>
      <c r="B1234" s="4"/>
      <c r="C1234" s="49"/>
      <c r="D1234" s="91"/>
      <c r="E1234" s="92"/>
      <c r="F1234" s="23"/>
      <c r="G1234" s="23"/>
      <c r="H1234" s="23"/>
      <c r="I1234" s="23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ht="15.75" customHeight="1" x14ac:dyDescent="0.2">
      <c r="A1235" s="4"/>
      <c r="B1235" s="4"/>
      <c r="C1235" s="49"/>
      <c r="D1235" s="91"/>
      <c r="E1235" s="92"/>
      <c r="F1235" s="23"/>
      <c r="G1235" s="23"/>
      <c r="H1235" s="23"/>
      <c r="I1235" s="23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ht="15.75" customHeight="1" x14ac:dyDescent="0.2">
      <c r="A1236" s="4"/>
      <c r="B1236" s="4"/>
      <c r="C1236" s="49"/>
      <c r="D1236" s="91"/>
      <c r="E1236" s="92"/>
      <c r="F1236" s="23"/>
      <c r="G1236" s="23"/>
      <c r="H1236" s="23"/>
      <c r="I1236" s="23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ht="15.75" customHeight="1" x14ac:dyDescent="0.2">
      <c r="A1237" s="4"/>
      <c r="B1237" s="4"/>
      <c r="C1237" s="49"/>
      <c r="D1237" s="91"/>
      <c r="E1237" s="92"/>
      <c r="F1237" s="23"/>
      <c r="G1237" s="23"/>
      <c r="H1237" s="23"/>
      <c r="I1237" s="23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ht="15.75" customHeight="1" x14ac:dyDescent="0.2">
      <c r="A1238" s="4"/>
      <c r="B1238" s="4"/>
      <c r="C1238" s="49"/>
      <c r="D1238" s="91"/>
      <c r="E1238" s="92"/>
      <c r="F1238" s="23"/>
      <c r="G1238" s="23"/>
      <c r="H1238" s="23"/>
      <c r="I1238" s="23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ht="15.75" customHeight="1" x14ac:dyDescent="0.2">
      <c r="A1239" s="4"/>
      <c r="B1239" s="4"/>
      <c r="C1239" s="49"/>
      <c r="D1239" s="91"/>
      <c r="E1239" s="92"/>
      <c r="F1239" s="23"/>
      <c r="G1239" s="23"/>
      <c r="H1239" s="23"/>
      <c r="I1239" s="23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ht="15.75" customHeight="1" x14ac:dyDescent="0.2">
      <c r="A1240" s="4"/>
      <c r="B1240" s="4"/>
      <c r="C1240" s="49"/>
      <c r="D1240" s="91"/>
      <c r="E1240" s="92"/>
      <c r="F1240" s="23"/>
      <c r="G1240" s="23"/>
      <c r="H1240" s="23"/>
      <c r="I1240" s="23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ht="15.75" customHeight="1" x14ac:dyDescent="0.2">
      <c r="A1241" s="4"/>
      <c r="B1241" s="4"/>
      <c r="C1241" s="49"/>
      <c r="D1241" s="91"/>
      <c r="E1241" s="92"/>
      <c r="F1241" s="23"/>
      <c r="G1241" s="23"/>
      <c r="H1241" s="23"/>
      <c r="I1241" s="23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ht="15.75" customHeight="1" x14ac:dyDescent="0.2">
      <c r="A1242" s="4"/>
      <c r="B1242" s="4"/>
      <c r="C1242" s="49"/>
      <c r="D1242" s="91"/>
      <c r="E1242" s="92"/>
      <c r="F1242" s="23"/>
      <c r="G1242" s="23"/>
      <c r="H1242" s="23"/>
      <c r="I1242" s="23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ht="15.75" customHeight="1" x14ac:dyDescent="0.2">
      <c r="A1243" s="4"/>
      <c r="B1243" s="4"/>
      <c r="C1243" s="49"/>
      <c r="D1243" s="91"/>
      <c r="E1243" s="92"/>
      <c r="F1243" s="23"/>
      <c r="G1243" s="23"/>
      <c r="H1243" s="23"/>
      <c r="I1243" s="23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ht="15.75" customHeight="1" x14ac:dyDescent="0.2">
      <c r="A1244" s="4"/>
      <c r="B1244" s="4"/>
      <c r="C1244" s="49"/>
      <c r="D1244" s="91"/>
      <c r="E1244" s="92"/>
      <c r="F1244" s="23"/>
      <c r="G1244" s="23"/>
      <c r="H1244" s="23"/>
      <c r="I1244" s="23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ht="15.75" customHeight="1" x14ac:dyDescent="0.2">
      <c r="A1245" s="4"/>
      <c r="B1245" s="4"/>
      <c r="C1245" s="49"/>
      <c r="D1245" s="91"/>
      <c r="E1245" s="92"/>
      <c r="F1245" s="23"/>
      <c r="G1245" s="23"/>
      <c r="H1245" s="23"/>
      <c r="I1245" s="23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ht="15.75" customHeight="1" x14ac:dyDescent="0.2">
      <c r="A1246" s="4"/>
      <c r="B1246" s="4"/>
      <c r="C1246" s="49"/>
      <c r="D1246" s="91"/>
      <c r="E1246" s="92"/>
      <c r="F1246" s="23"/>
      <c r="G1246" s="23"/>
      <c r="H1246" s="23"/>
      <c r="I1246" s="23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ht="15.75" customHeight="1" x14ac:dyDescent="0.2">
      <c r="A1247" s="4"/>
      <c r="B1247" s="4"/>
      <c r="C1247" s="49"/>
      <c r="D1247" s="91"/>
      <c r="E1247" s="92"/>
      <c r="F1247" s="23"/>
      <c r="G1247" s="23"/>
      <c r="H1247" s="23"/>
      <c r="I1247" s="23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ht="15.75" customHeight="1" x14ac:dyDescent="0.2">
      <c r="A1248" s="4"/>
      <c r="B1248" s="4"/>
      <c r="C1248" s="49"/>
      <c r="D1248" s="91"/>
      <c r="E1248" s="92"/>
      <c r="F1248" s="23"/>
      <c r="G1248" s="23"/>
      <c r="H1248" s="23"/>
      <c r="I1248" s="23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ht="15.75" customHeight="1" x14ac:dyDescent="0.2">
      <c r="A1249" s="4"/>
      <c r="B1249" s="4"/>
      <c r="C1249" s="49"/>
      <c r="D1249" s="91"/>
      <c r="E1249" s="92"/>
      <c r="F1249" s="23"/>
      <c r="G1249" s="23"/>
      <c r="H1249" s="23"/>
      <c r="I1249" s="23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</sheetData>
  <autoFilter ref="B84:I99" xr:uid="{00000000-0001-0000-0000-000000000000}"/>
  <mergeCells count="9">
    <mergeCell ref="B492:G492"/>
    <mergeCell ref="B494:G494"/>
    <mergeCell ref="B495:G495"/>
    <mergeCell ref="B496:G496"/>
    <mergeCell ref="F2:G2"/>
    <mergeCell ref="F4:G4"/>
    <mergeCell ref="F6:G6"/>
    <mergeCell ref="F9:I9"/>
    <mergeCell ref="A451:K451"/>
  </mergeCells>
  <phoneticPr fontId="12" type="noConversion"/>
  <pageMargins left="0.70866141732283472" right="0.70866141732283472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Henderson</dc:creator>
  <cp:lastModifiedBy>Matthew Roach</cp:lastModifiedBy>
  <dcterms:created xsi:type="dcterms:W3CDTF">2023-07-28T06:03:38Z</dcterms:created>
  <dcterms:modified xsi:type="dcterms:W3CDTF">2026-01-19T06:08:14Z</dcterms:modified>
</cp:coreProperties>
</file>